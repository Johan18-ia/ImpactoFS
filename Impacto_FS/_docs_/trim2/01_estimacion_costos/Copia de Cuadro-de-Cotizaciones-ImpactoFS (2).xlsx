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PRENDIZ\Downloads\"/>
    </mc:Choice>
  </mc:AlternateContent>
  <xr:revisionPtr revIDLastSave="0" documentId="13_ncr:1_{668A515C-6786-4975-A4E4-28ECFEBAE715}" xr6:coauthVersionLast="47" xr6:coauthVersionMax="47" xr10:uidLastSave="{00000000-0000-0000-0000-000000000000}"/>
  <bookViews>
    <workbookView xWindow="14370" yWindow="2490" windowWidth="14520" windowHeight="11385" firstSheet="15" activeTab="16" xr2:uid="{00000000-000D-0000-FFFF-FFFF00000000}"/>
  </bookViews>
  <sheets>
    <sheet name="Torre admin" sheetId="1" r:id="rId1"/>
    <sheet name="Monitor Admin" sheetId="2" r:id="rId2"/>
    <sheet name="DiscoSolido Admin" sheetId="3" r:id="rId3"/>
    <sheet name="Disco duro interno Admin" sheetId="4" r:id="rId4"/>
    <sheet name="Servidor Admin" sheetId="5" r:id="rId5"/>
    <sheet name="ram Admin" sheetId="6" r:id="rId6"/>
    <sheet name="Teclado Admin" sheetId="7" r:id="rId7"/>
    <sheet name="Mause Admin" sheetId="8" r:id="rId8"/>
    <sheet name="Portatil Nosotros" sheetId="9" r:id="rId9"/>
    <sheet name="Monitor Nosotros" sheetId="10" r:id="rId10"/>
    <sheet name=" Disco mecanico Nosotros" sheetId="11" r:id="rId11"/>
    <sheet name=" Servidor Nosotros" sheetId="13" r:id="rId12"/>
    <sheet name=" ram nosotros" sheetId="12" r:id="rId13"/>
    <sheet name="Tarjeta de video nosotros" sheetId="14" r:id="rId14"/>
    <sheet name="Procesador Nosotros" sheetId="15" r:id="rId15"/>
    <sheet name="Hosting" sheetId="16" r:id="rId16"/>
    <sheet name="Dominio" sheetId="17" r:id="rId17"/>
    <sheet name="GooglePlay" sheetId="18" r:id="rId18"/>
    <sheet name="Software"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5" roundtripDataChecksum="dple+E52BW4gQwl7jwml3EEemBchMV8NJM0dmOZrTAc="/>
    </ext>
  </extLst>
</workbook>
</file>

<file path=xl/calcChain.xml><?xml version="1.0" encoding="utf-8"?>
<calcChain xmlns="http://schemas.openxmlformats.org/spreadsheetml/2006/main">
  <c r="G9" i="18" l="1"/>
  <c r="H9" i="15"/>
  <c r="H10" i="15"/>
  <c r="H8" i="15"/>
  <c r="H9" i="14"/>
  <c r="H10" i="14"/>
  <c r="H8" i="14"/>
  <c r="H9" i="12"/>
  <c r="H10" i="12"/>
  <c r="H8" i="12"/>
  <c r="H9" i="13"/>
  <c r="H10" i="13"/>
  <c r="H8" i="13"/>
  <c r="H9" i="11"/>
  <c r="H10" i="11"/>
  <c r="H8" i="11"/>
  <c r="H9" i="10"/>
  <c r="H10" i="10"/>
  <c r="H8" i="10"/>
  <c r="H9" i="9"/>
  <c r="H10" i="9"/>
  <c r="H8" i="9"/>
  <c r="H9" i="8"/>
  <c r="H10" i="8"/>
  <c r="H8" i="8"/>
  <c r="H9" i="7"/>
  <c r="H10" i="7"/>
  <c r="H8" i="7"/>
  <c r="H9" i="6"/>
  <c r="H10" i="6"/>
  <c r="H8" i="6"/>
  <c r="H9" i="5"/>
  <c r="H10" i="5"/>
  <c r="H8" i="5"/>
  <c r="H9" i="4"/>
  <c r="H10" i="4"/>
  <c r="H8" i="4"/>
  <c r="H9" i="3"/>
  <c r="H10" i="3"/>
  <c r="H8" i="3"/>
  <c r="H9" i="2"/>
  <c r="H10" i="2"/>
  <c r="H8" i="2"/>
  <c r="H9" i="1"/>
  <c r="H10" i="1"/>
  <c r="H8" i="1"/>
  <c r="F9" i="15"/>
  <c r="G9" i="15"/>
  <c r="F10" i="15"/>
  <c r="G10" i="15"/>
  <c r="F8" i="15"/>
  <c r="G8" i="15"/>
  <c r="F9" i="14"/>
  <c r="G9" i="14"/>
  <c r="F10" i="14"/>
  <c r="G10" i="14"/>
  <c r="F8" i="14"/>
  <c r="G8" i="14"/>
  <c r="F9" i="12"/>
  <c r="G9" i="12"/>
  <c r="F10" i="12"/>
  <c r="G10" i="12"/>
  <c r="F8" i="12"/>
  <c r="G8" i="12"/>
  <c r="F8" i="13"/>
  <c r="G8" i="13"/>
  <c r="F9" i="13"/>
  <c r="G9" i="13"/>
  <c r="F10" i="13"/>
  <c r="G10" i="13"/>
  <c r="F9" i="11"/>
  <c r="G9" i="11"/>
  <c r="F10" i="11"/>
  <c r="G10" i="11"/>
  <c r="F8" i="11"/>
  <c r="G8" i="11"/>
  <c r="F9" i="10"/>
  <c r="G9" i="10"/>
  <c r="F10" i="10"/>
  <c r="G10" i="10"/>
  <c r="F8" i="10"/>
  <c r="G8" i="10"/>
  <c r="F9" i="9"/>
  <c r="G9" i="9"/>
  <c r="F10" i="9"/>
  <c r="G10" i="9"/>
  <c r="F8" i="9"/>
  <c r="G8" i="9"/>
  <c r="F9" i="8"/>
  <c r="G9" i="8"/>
  <c r="F10" i="8"/>
  <c r="G10" i="8"/>
  <c r="F8" i="8"/>
  <c r="G8" i="8"/>
  <c r="F10" i="7"/>
  <c r="G10" i="7"/>
  <c r="F9" i="7"/>
  <c r="G9" i="7"/>
  <c r="F8" i="7"/>
  <c r="G8" i="7"/>
  <c r="F9" i="6"/>
  <c r="G9" i="6"/>
  <c r="F10" i="6"/>
  <c r="G10" i="6"/>
  <c r="F8" i="6"/>
  <c r="G8" i="6"/>
  <c r="F9" i="5"/>
  <c r="G9" i="5"/>
  <c r="F10" i="5"/>
  <c r="G10" i="5"/>
  <c r="F8" i="5"/>
  <c r="G8" i="5"/>
  <c r="F9" i="4"/>
  <c r="G9" i="4"/>
  <c r="F10" i="4"/>
  <c r="G10" i="4"/>
  <c r="F8" i="4"/>
  <c r="G8" i="4"/>
  <c r="G9" i="3"/>
  <c r="G10" i="3"/>
  <c r="G8" i="3"/>
  <c r="G10" i="2"/>
  <c r="G9" i="2"/>
  <c r="G8" i="2"/>
  <c r="G9" i="1"/>
  <c r="G10" i="1"/>
  <c r="G8" i="1"/>
</calcChain>
</file>

<file path=xl/sharedStrings.xml><?xml version="1.0" encoding="utf-8"?>
<sst xmlns="http://schemas.openxmlformats.org/spreadsheetml/2006/main" count="616" uniqueCount="256">
  <si>
    <t>CUADRO DE COTIZACIONES</t>
  </si>
  <si>
    <t xml:space="preserve">Cuadro Comparativo de Cotizaciones </t>
  </si>
  <si>
    <t xml:space="preserve">Presupuestos (a)
</t>
  </si>
  <si>
    <r>
      <rPr>
        <b/>
        <sz val="10"/>
        <color theme="1"/>
        <rFont val="Trebuchet MS"/>
        <family val="2"/>
      </rPr>
      <t>Empresa</t>
    </r>
    <r>
      <rPr>
        <i/>
        <sz val="8"/>
        <color theme="1"/>
        <rFont val="Trebuchet MS"/>
        <family val="2"/>
      </rPr>
      <t xml:space="preserve">
(Nombre fiscal de la empresa)</t>
    </r>
  </si>
  <si>
    <r>
      <rPr>
        <b/>
        <sz val="10"/>
        <color theme="1"/>
        <rFont val="Trebuchet MS"/>
        <family val="2"/>
      </rPr>
      <t>Nº de CUIT, Dirección, Teléfono</t>
    </r>
    <r>
      <rPr>
        <i/>
        <sz val="10"/>
        <color theme="1"/>
        <rFont val="Trebuchet MS"/>
        <family val="2"/>
      </rPr>
      <t xml:space="preserve">
</t>
    </r>
    <r>
      <rPr>
        <i/>
        <sz val="8"/>
        <color theme="1"/>
        <rFont val="Trebuchet MS"/>
        <family val="2"/>
      </rPr>
      <t>(Datos de la empresa)</t>
    </r>
  </si>
  <si>
    <r>
      <rPr>
        <b/>
        <sz val="10"/>
        <color theme="1"/>
        <rFont val="Trebuchet MS"/>
        <family val="2"/>
      </rPr>
      <t>Descripción del
bien/ servicio (b)</t>
    </r>
    <r>
      <rPr>
        <i/>
        <sz val="10"/>
        <color theme="1"/>
        <rFont val="Trebuchet MS"/>
        <family val="2"/>
      </rPr>
      <t xml:space="preserve">
</t>
    </r>
    <r>
      <rPr>
        <i/>
        <sz val="8"/>
        <color theme="1"/>
        <rFont val="Trebuchet MS"/>
        <family val="2"/>
      </rPr>
      <t>Características de los bienes/ servicios</t>
    </r>
  </si>
  <si>
    <r>
      <t xml:space="preserve">Importe Unitario
</t>
    </r>
    <r>
      <rPr>
        <i/>
        <sz val="8"/>
        <color theme="1"/>
        <rFont val="Trebuchet MS"/>
        <family val="2"/>
      </rPr>
      <t>(moneda nacional)</t>
    </r>
  </si>
  <si>
    <r>
      <rPr>
        <b/>
        <u/>
        <sz val="10"/>
        <color theme="1"/>
        <rFont val="Trebuchet MS"/>
        <family val="2"/>
      </rPr>
      <t>Importe Total</t>
    </r>
    <r>
      <rPr>
        <b/>
        <u/>
        <sz val="10"/>
        <color theme="1"/>
        <rFont val="Trebuchet MS"/>
        <family val="2"/>
      </rPr>
      <t xml:space="preserve">
 IVA incluido
</t>
    </r>
    <r>
      <rPr>
        <i/>
        <u/>
        <sz val="8"/>
        <color theme="1"/>
        <rFont val="Trebuchet MS"/>
        <family val="2"/>
      </rPr>
      <t>(moneda nacional)</t>
    </r>
  </si>
  <si>
    <r>
      <rPr>
        <b/>
        <sz val="10"/>
        <color theme="1"/>
        <rFont val="Arial"/>
        <family val="2"/>
      </rPr>
      <t xml:space="preserve">Importe Total
</t>
    </r>
    <r>
      <rPr>
        <i/>
        <sz val="8"/>
        <color theme="1"/>
        <rFont val="Arial"/>
        <family val="2"/>
      </rPr>
      <t>(moneda extranjera)</t>
    </r>
  </si>
  <si>
    <t>Tipo de cambio</t>
  </si>
  <si>
    <r>
      <rPr>
        <b/>
        <sz val="10"/>
        <color theme="1"/>
        <rFont val="Trebuchet MS"/>
        <family val="2"/>
      </rPr>
      <t xml:space="preserve">Forma de Pago 
</t>
    </r>
    <r>
      <rPr>
        <i/>
        <sz val="8"/>
        <color theme="1"/>
        <rFont val="Trebuchet MS"/>
        <family val="2"/>
      </rPr>
      <t>(Contado o Cheque)</t>
    </r>
  </si>
  <si>
    <r>
      <rPr>
        <b/>
        <sz val="10"/>
        <color theme="1"/>
        <rFont val="Trebuchet MS"/>
        <family val="2"/>
      </rPr>
      <t xml:space="preserve">Observaciones </t>
    </r>
    <r>
      <rPr>
        <i/>
        <sz val="10"/>
        <color theme="1"/>
        <rFont val="Trebuchet MS"/>
        <family val="2"/>
      </rPr>
      <t xml:space="preserve">
</t>
    </r>
    <r>
      <rPr>
        <i/>
        <sz val="8"/>
        <color theme="1"/>
        <rFont val="Trebuchet MS"/>
        <family val="2"/>
      </rPr>
      <t>(se debe incluir toda aquella característica que no ha sido posible incluir anteriormente)</t>
    </r>
  </si>
  <si>
    <t>Nº 1</t>
  </si>
  <si>
    <t xml:space="preserve">MERCADO LIBRE </t>
  </si>
  <si>
    <t>https://articulo.mercadolibre.com.co/MCO-1194697164-cpu-torre-core-i5-16ramhd500-monitor-19-_JM#position=27&amp;search_layout=stack&amp;type=item&amp;tracking_id=22ccce83-15fd-498b-821b-fb60ba69422b</t>
  </si>
  <si>
    <t>Cpu Torre Core I5 +16ram+hd500 Monitor 19</t>
  </si>
  <si>
    <t>CONTADO</t>
  </si>
  <si>
    <t>Computador de gran alcance con procesador Intel core i5, acondicionado para ejecutar multitareas administrativas, domesticas, educativas e interactivas a gran velocidad</t>
  </si>
  <si>
    <t xml:space="preserve">Nº2 </t>
  </si>
  <si>
    <t xml:space="preserve">PC WARE </t>
  </si>
  <si>
    <t>https://www.pcware.com.co/xpg-starker-atx-1-fan-cooler-argb-vidrio-templado-x1-1-fan-cooler-standard-fuente-de-poder-xpg-probe-600-watts-certificada-80-plus-bronze-negro-by-adata</t>
  </si>
  <si>
    <t>XPG STARKER ATX/ 1 Fan Cooler ARGB / Vidrio Templado X1 /+ 1 Fan Cooler Standard/+ Fuente De Poder XPG PROBE / 600 Watts / Certificada 80 Plus Bronze/Negro-By ADATA</t>
  </si>
  <si>
    <t>En PcWare encuentras de forma fácil un gran catálogo el componente o partes de pc al mejor precio</t>
  </si>
  <si>
    <t>Nº 3</t>
  </si>
  <si>
    <t xml:space="preserve">POWER DEAL </t>
  </si>
  <si>
    <t>https://powerdeal.com.co/collections/pc-gamer-ensamblados/products/pc-torre-ghost-amd-ryzen-athlon-3000g-8gb-ssd-500-gb-sata-pd</t>
  </si>
  <si>
    <t>CPU GAMER ATROX ATHLON 3000G</t>
  </si>
  <si>
    <t>Computador gamer de escritorio</t>
  </si>
  <si>
    <r>
      <t xml:space="preserve">(a) Se deben presentar tres (3) presupuestos cuando:   
   </t>
    </r>
    <r>
      <rPr>
        <sz val="10"/>
        <color theme="1"/>
        <rFont val="Arial"/>
        <family val="2"/>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family val="2"/>
      </rPr>
      <t>En caso de no contar con tres (3) presupuestos, o no poder seleccionar al proveedor que ofrece menor precio, presentar este cuadro una nota de justificación siguiendo las pautas del ítem    (XX)</t>
    </r>
    <r>
      <rPr>
        <sz val="10"/>
        <color theme="1"/>
        <rFont val="Arial"/>
        <family val="2"/>
      </rPr>
      <t xml:space="preserve">
</t>
    </r>
  </si>
  <si>
    <r>
      <rPr>
        <b/>
        <sz val="10"/>
        <color theme="1"/>
        <rFont val="Arial"/>
        <family val="2"/>
      </rPr>
      <t>(b) Ejemplos:</t>
    </r>
    <r>
      <rPr>
        <sz val="10"/>
        <color theme="1"/>
        <rFont val="Arial"/>
        <family val="2"/>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</si>
  <si>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t>Empresa</t>
    </r>
    <r>
      <rPr>
        <i/>
        <sz val="10"/>
        <color theme="1"/>
        <rFont val="Arial"/>
        <family val="2"/>
        <scheme val="major"/>
      </rPr>
      <t xml:space="preserve">
(Nombre fiscal de la empresa)</t>
    </r>
  </si>
  <si>
    <r>
      <t>Nº de CUIT, Dirección, Teléfono</t>
    </r>
    <r>
      <rPr>
        <i/>
        <sz val="10"/>
        <color theme="1"/>
        <rFont val="Arial"/>
        <family val="2"/>
        <scheme val="major"/>
      </rPr>
      <t xml:space="preserve">
(Datos de la empresa)</t>
    </r>
  </si>
  <si>
    <r>
      <t>Descripción del
bien/ servicio (b)</t>
    </r>
    <r>
      <rPr>
        <i/>
        <sz val="10"/>
        <color theme="1"/>
        <rFont val="Arial"/>
        <family val="2"/>
        <scheme val="major"/>
      </rPr>
      <t xml:space="preserve">
Características de los bienes/ servicios</t>
    </r>
  </si>
  <si>
    <r>
      <t xml:space="preserve">Importe Unitario
</t>
    </r>
    <r>
      <rPr>
        <i/>
        <sz val="10"/>
        <color theme="1"/>
        <rFont val="Arial"/>
        <family val="2"/>
        <scheme val="major"/>
      </rPr>
      <t>(moneda nacional)</t>
    </r>
  </si>
  <si>
    <r>
      <t xml:space="preserve">Importe Total
 IVA incluido
</t>
    </r>
    <r>
      <rPr>
        <i/>
        <u/>
        <sz val="10"/>
        <color theme="1"/>
        <rFont val="Arial"/>
        <family val="2"/>
        <scheme val="major"/>
      </rPr>
      <t>(moneda nacional)</t>
    </r>
  </si>
  <si>
    <r>
      <t xml:space="preserve">Importe Total
</t>
    </r>
    <r>
      <rPr>
        <i/>
        <sz val="10"/>
        <color theme="1"/>
        <rFont val="Arial"/>
        <family val="2"/>
        <scheme val="major"/>
      </rPr>
      <t>(moneda extranjera)</t>
    </r>
  </si>
  <si>
    <r>
      <t xml:space="preserve">Forma de Pago 
</t>
    </r>
    <r>
      <rPr>
        <i/>
        <sz val="10"/>
        <color theme="1"/>
        <rFont val="Arial"/>
        <family val="2"/>
        <scheme val="major"/>
      </rPr>
      <t>(Contado o Cheque)</t>
    </r>
  </si>
  <si>
    <r>
      <t xml:space="preserve">Observaciones </t>
    </r>
    <r>
      <rPr>
        <i/>
        <sz val="10"/>
        <color theme="1"/>
        <rFont val="Arial"/>
        <family val="2"/>
        <scheme val="major"/>
      </rPr>
      <t xml:space="preserve">
(se debe incluir toda aquella característica que no ha sido posible incluir anteriormente)</t>
    </r>
  </si>
  <si>
    <t>Mercado libre</t>
  </si>
  <si>
    <t>https://www.mercadolibre.com.co/monitor-curvo-27-fhd-diseno-sin-bordes-color-black-100v240v/p/MCO17431651?pdp_filters=category%3AMCO1656&amp;quantity=3</t>
  </si>
  <si>
    <t>Monitor Curvo 27 Fhd Diseño Sin Bordes Color Black 100V/240V</t>
  </si>
  <si>
    <t>Tiene una resolución de 1920px-1080px.</t>
  </si>
  <si>
    <t xml:space="preserve">ALKOSTO </t>
  </si>
  <si>
    <t>https://www.alkosto.com/monitor-samsung-gamer-24-pulgadas-g320nl-plano-negro/p/8806094113846</t>
  </si>
  <si>
    <t>Monitor Samsung Gamer 24" pulgadas G320NL Plano Negro</t>
  </si>
  <si>
    <t>Stand ergonómico con ajuste en altura, inclinación y pivote</t>
  </si>
  <si>
    <t>https://www.alkosto.com/monitor-samsung-32-pulgadas-cm500-smart-display-negro/p/8806095020167</t>
  </si>
  <si>
    <t>Monitor SAMSUNG 32" Pulgadas CM500 Smart Display Negro</t>
  </si>
  <si>
    <t>Pantalla FHD, Gran nitidez, calidad de imagen y contraste</t>
  </si>
  <si>
    <r>
      <rPr>
        <b/>
        <sz val="10"/>
        <color theme="1"/>
        <rFont val="Arial"/>
        <family val="2"/>
      </rPr>
      <t xml:space="preserve">(a) Se deben presentar tres (3) presupuestos cuando:   
   </t>
    </r>
    <r>
      <rPr>
        <sz val="10"/>
        <color theme="1"/>
        <rFont val="Arial"/>
        <family val="2"/>
      </rPr>
      <t>El valor del gasto supere el monto de pesos un mil ($ 1.000,00). 
     Se pueden presentar al menos tres (3)</t>
    </r>
    <r>
      <rPr>
        <sz val="10"/>
        <color theme="1"/>
        <rFont val="Arial"/>
        <family val="2"/>
      </rPr>
      <t xml:space="preserve"> solicitudes de cotización (del bien o servicio a contratar) cursadas</t>
    </r>
    <r>
      <rPr>
        <sz val="10"/>
        <color theme="1"/>
        <rFont val="Arial"/>
        <family val="2"/>
      </rPr>
      <t xml:space="preserve"> a tres o más empresas oferentes.
     L</t>
    </r>
    <r>
      <rPr>
        <sz val="10"/>
        <color theme="1"/>
        <rFont val="Arial"/>
        <family val="2"/>
      </rPr>
      <t xml:space="preserve">a selección del proveedor se hará con el criterio del más bajo precio.
     </t>
    </r>
    <r>
      <rPr>
        <b/>
        <sz val="10"/>
        <color theme="1"/>
        <rFont val="Arial"/>
        <family val="2"/>
      </rPr>
      <t>En caso de no contar con tres (3) presupuestos, o no poder seleccionar al proveedor que ofrece menor precio, presentar este cuadro una nota de justificación siguiendo las pautas del ítem    (XX)</t>
    </r>
    <r>
      <rPr>
        <sz val="10"/>
        <color theme="1"/>
        <rFont val="Arial"/>
        <family val="2"/>
      </rPr>
      <t xml:space="preserve">
</t>
    </r>
  </si>
  <si>
    <r>
      <rPr>
        <b/>
        <sz val="10"/>
        <color theme="1"/>
        <rFont val="Trebuchet MS"/>
        <family val="2"/>
      </rPr>
      <t xml:space="preserve">Importe Unitario
</t>
    </r>
    <r>
      <rPr>
        <i/>
        <sz val="8"/>
        <color theme="1"/>
        <rFont val="Trebuchet MS"/>
        <family val="2"/>
      </rPr>
      <t>(moneda nacional)</t>
    </r>
  </si>
  <si>
    <t>https://www.mercadolibre.com.co/disco-solido-ssd-interno-crucial-ct500bx500ssd1-500gb-negro/p/MCO19614825?pdp_filters=category:MCO1672#searchVariation=MCO19614825&amp;position=2&amp;search_layout=stack&amp;type=product&amp;tracking_id=aa8e5d63-5d99-467d-8939-e0e1b492ed9b</t>
  </si>
  <si>
    <t>Disco sólido SSD interno Crucial CT500BX500SSD1 500GB negro</t>
  </si>
  <si>
    <t xml:space="preserve">CONTADO </t>
  </si>
  <si>
    <t>Útil para guardar programas y documentos con su capacidad de 500 GB.</t>
  </si>
  <si>
    <t xml:space="preserve">FALABELLA </t>
  </si>
  <si>
    <t>https://www.falabella.com.co/falabella-co/product/118315377/Unidad-Estado-Solido-SSD-Interno-Adata-XPG-S40G-1TB/118315378</t>
  </si>
  <si>
    <t>Unidad Estado Solido SSD Interno Adata XPG S40G 1TB</t>
  </si>
  <si>
    <t>Con velocidades de lectura y escritura sostenidas de hasta 3500/3000 MB por segundo, iluminación RGB personalizable y una gran cantidad de características que mejoran el rendimiento</t>
  </si>
  <si>
    <t>HI TECH</t>
  </si>
  <si>
    <t>152 #96-90 Suba Bogotá D.C</t>
  </si>
  <si>
    <t xml:space="preserve">´MERCADO LIBRE </t>
  </si>
  <si>
    <t>https://www.mercadolibre.com.co/disco-solido-ssd-interno-kingston-sa400s37240gb-negro/p/MCO19035706?pdp_filters=category:MCO1672#searchVariation=MCO19035706&amp;position=7&amp;search_layout=stack&amp;type=product&amp;tracking_id=d2347602-d832-46e2-b62a-c4c325617137</t>
  </si>
  <si>
    <t>Disco sólido SSD interno Kingston SA400S37/240GB Negro</t>
  </si>
  <si>
    <t>El Kingston A400 SA400S37/240G 240 GB ofrece una transferencia de datos de 550 MB/s en lectura y 490 MB/s en escritura, para un rendimiento óptimo.</t>
  </si>
  <si>
    <t xml:space="preserve">KTRONIX </t>
  </si>
  <si>
    <t>https://www.ktronix.com/disco-duro-toshiba-basic-2tb/p/723844001346</t>
  </si>
  <si>
    <t>Disco Duro TOSHIBA Basic 2TB</t>
  </si>
  <si>
    <t>Systestore</t>
  </si>
  <si>
    <t>(314) 251 26 38</t>
  </si>
  <si>
    <t xml:space="preserve">Mercado libre </t>
  </si>
  <si>
    <t>https://articulo.mercadolibre.com.co/MCO-1294185577-poweredge-t150-tower-server-intel-xeon-e-2336g16gb2tb-_JM#position=8&amp;search_layout=stack&amp;type=item&amp;tracking_id=6ce23d24-4588-4653-bb99-db7e1509e5aa</t>
  </si>
  <si>
    <t>Poweredge T150 - Tower Server/ Intel Xeon E-2336g/16gb/2tb</t>
  </si>
  <si>
    <t>Un procesador Intel® Xeon® serie E-2336 con hasta 8 núcleos por procesador</t>
  </si>
  <si>
    <t>https://articulo.mercadolibre.com.co/MCO-1318522727-servidor-hp-proliant-ml310e-gen8-v2-r16gb-ssd480-xeon-31ghz-_JM#position=4&amp;search_layout=stack&amp;type=item&amp;tracking_id=aa17d476-2270-48e4-afc3-371dfada513d</t>
  </si>
  <si>
    <t>Servidor Hp Proliant Ml310e Gen8 V2 R16gb Ssd480 Xeon 3.1ghz</t>
  </si>
  <si>
    <t>ProLiant ML310e Gen8 v2</t>
  </si>
  <si>
    <t>Servidor Rack Marca Siara Intel Xeon E3 1260l 16gb 1tb</t>
  </si>
  <si>
    <t>Speed logic</t>
  </si>
  <si>
    <t>https://speedlogic.com.co/tienda/memorias-ram/memoria-ram-ddr4-16g-3200-cors</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</si>
  <si>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</si>
  <si>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</si>
  <si>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</si>
  <si>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</si>
  <si>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</si>
  <si>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</si>
  <si>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Tecnostock</t>
  </si>
  <si>
    <t>https://tecnostock.com.co/products/crucial-laptop-ddr4-3200-mhz-sodimm-memory-module?variant=46808587370781&amp;currency=COP&amp;utm_medium=product_sync&amp;utm_source=google&amp;utm_content=sag_organic&amp;utm_campaign=sag_organic&amp;srsltid=AfmBOoqET5a1tgCjO-30b6IPBqHaFs9VneMJjDgoKfxpm8XhSgHhZF9ABDc</t>
  </si>
  <si>
    <t>Crucial Laptop DDR4 3200 MHz SODIMM Memory Module</t>
  </si>
  <si>
    <t>Velocidad de reloj de 3200 MHz.</t>
  </si>
  <si>
    <t>https://www.falabella.com.co/falabella-co/product/130536287/Combo-Dell-Wireless-Km3322w-Teclado-+-Mouse/130536288</t>
  </si>
  <si>
    <t>Combo Dell Wireless Km3322w Teclado + Mouse</t>
  </si>
  <si>
    <t>Sensor de alta precisión</t>
  </si>
  <si>
    <t>ALKOSTO</t>
  </si>
  <si>
    <t>https://www.alkosto.com/teclado-hp-alambrico-150-basic-negro/p/196548244195</t>
  </si>
  <si>
    <t>Teclado HP Alámbrico 150 Basic Negro</t>
  </si>
  <si>
    <t>Teclado con cable HP 150. Este perfecto compañero plug-and-play es un teclado cómodo con todo lo que necesitas para donde sea que lo lleves</t>
  </si>
  <si>
    <t>Panamericana</t>
  </si>
  <si>
    <t>(601) 364 9000</t>
  </si>
  <si>
    <t>Calle 12 # 34 - 30, Bogotá D.C.</t>
  </si>
  <si>
    <r>
      <rPr>
        <b/>
        <sz val="10"/>
        <color theme="1"/>
        <rFont val="Arial"/>
        <family val="2"/>
      </rPr>
      <t xml:space="preserve">Importe Total
</t>
    </r>
    <r>
      <rPr>
        <b/>
        <i/>
        <sz val="8"/>
        <color theme="1"/>
        <rFont val="Arial"/>
        <family val="2"/>
      </rPr>
      <t>(moneda extranjera)</t>
    </r>
  </si>
  <si>
    <t>https://www.mercadolibre.com.co/mouse-gamer-vertical-inalambrico-recargable-weibo-wb-881-negro/p/MCO16051104?pdp_filters=item_id:MCO2027339616#is_advertising=true&amp;searchVariation=MCO16051104&amp;position=1&amp;search_layout=stack&amp;type=pad&amp;tracking_id=ced31c77-b65c-4671-a8f1-61f3edab0f16&amp;is_advertising=true&amp;ad_domain=VQCATCORE_LST&amp;ad_position=1&amp;ad_click_id=MWZjOWY3ZTgtZjgwNS00MmEzLTk2M2ItNGJiMDNhMjg1NDIy</t>
  </si>
  <si>
    <t>Mouse gamer vertical inalámbrico recargable Weibo WB-881 negro</t>
  </si>
  <si>
    <t>Posee rueda de desplazamiento.</t>
  </si>
  <si>
    <t>AMAZON</t>
  </si>
  <si>
    <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t>
  </si>
  <si>
    <t>AmazonBasics Ratón de computadora con cable USB de 3 botones (negro), paquete de 1</t>
  </si>
  <si>
    <t>Ratón de computadora para navegar fácilmente por una interfaz de computadora; haga clic, desplazarse y más</t>
  </si>
  <si>
    <t>EXPOCOL SUMINISTRO</t>
  </si>
  <si>
    <t>https://expocolsuministros.com/product/mouse-logitech-g-inalambrico-gaming-g305-lila/</t>
  </si>
  <si>
    <t>Mouse LOGITECH G Inalámbrico Gaming G305 Lila</t>
  </si>
  <si>
    <t>G305 puede guardar en la memoria integrada hasta 5 perfiles con hasta 5 niveles de dpi cada uno.</t>
  </si>
  <si>
    <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t>
  </si>
  <si>
    <t>Portatil Lenovo Ryzen 7 5825u Ram 24gb Solido 512gb Fhd</t>
  </si>
  <si>
    <t>Procesador AMD RYZEN R7 5825U 8 NUCELOS</t>
  </si>
  <si>
    <t>https://www.alkosto.com/computador-portatil-asus-vivobook-156-pulgadas-x1504za-intel-core-i5-ram-8gb-disco-ssd-512-gb-azul/p/4711387276068</t>
  </si>
  <si>
    <t>Computador Portátil ASUS Vivobook 15.6" Pulgadas X1504ZA - Intel Core i5 - RAM 8GB - Disco SSD 512 GB - Azul</t>
  </si>
  <si>
    <t>Escudo de privacidad de la cámara WEB física</t>
  </si>
  <si>
    <t>https://www.ktronix.com/computador-portatil-hp-pavilion-156-pulgadas-eg2526la-intel-core-i5-ram-8gb-disco-ssd-512gb-azul/p/198122317813</t>
  </si>
  <si>
    <t>Computador Portátil HP Pavilion 15.6" Pulgadas Eg2526la - Intel Core i5 - RAM 8GB - Disco SSD 512GB - Azul</t>
  </si>
  <si>
    <t>HP Fast Charge. Carga de 0 a 50% en aproximadamente 45 min</t>
  </si>
  <si>
    <t>https://www.alkosto.com/monitor-samsung-gamer-32-pulgadas-ag320-plano-negro/p/887276595368</t>
  </si>
  <si>
    <t>Monitor SAMSUNG Gamer 32" Pulgadas AG320 Plano Negro</t>
  </si>
  <si>
    <t>Sus 165Hz eliminan el retraso, una experiencia ultrafluida</t>
  </si>
  <si>
    <t>https://www.falabella.com.co/falabella-co/product/122186554/Monitor-ThinkVision-M14-movil-con-pantalla-tactil-14%E2%80%9D/122186555</t>
  </si>
  <si>
    <t>Monitor ThinkVision M14 móvil con pantalla táctil 14”</t>
  </si>
  <si>
    <t>Response Time 6 ms (Extreme mode) / 8 ms (Typical mode)</t>
  </si>
  <si>
    <t>https://www.mercadolibre.com.co/monitor-gamer-lg-ultragear-27gr75q-lcd-27-negro-100v240v/p/MCO24122328?pdp_filters=item_id:MCO1413629089#is_advertising=true&amp;searchVariation=MCO24122328&amp;position=10&amp;search_layout=stack&amp;type=pad&amp;tracking_id=7415b802-551f-4627-8fe6-d6c65a3e40c2&amp;is_advertising=true&amp;ad_domain=VQCATCORE_LST&amp;ad_position=10&amp;ad_click_id=ODk2ZGUwZDQtYTZlMS00YjZkLWJkNmUtYjc0N2NkYWY4OTdl</t>
  </si>
  <si>
    <t>Monitor gamer LG UltraGear 27GR75Q LCD 27" negro 100V/240V</t>
  </si>
  <si>
    <t>Soporte de color: 16,7 millones</t>
  </si>
  <si>
    <t xml:space="preserve">M </t>
  </si>
  <si>
    <t>https://www.mercadolibre.com.co/disco-duro-interno-western-digital-wd5000lpzx-25in-500gb-hdd-sata-iii-plata/p/MCO21709406?pdp_filters=category%3AMCO1672#searchVariation=MCO21709406&amp;position=4&amp;search_layout=stack&amp;type=product&amp;tracking_id=645ef13c-b162-4ab0-bc8e-6ab434cbaf42</t>
  </si>
  <si>
    <t>Disco Duro Interno Western Digital WD5000LPZX 2.5in 500gb Hdd Sata Iii Plata</t>
  </si>
  <si>
    <t xml:space="preserve">SPEED LOGIC </t>
  </si>
  <si>
    <t>https://speedlogic.com.co/tienda/unidades-disco-mecanico/disco-externo-usb-1-tb-toshiba-25-3-0/</t>
  </si>
  <si>
    <t>DISCO EXTERNO USB 1 TB TOSHIBA 2,5″ (3.0)</t>
  </si>
  <si>
    <t>Soluciones de almacenamiento Toshiba de la región EMEA –</t>
  </si>
  <si>
    <t xml:space="preserve">PCWARE </t>
  </si>
  <si>
    <t>https://www.pcware.com.co/kingston-250-gb-ssd-nvme-nv1-pcie-m-2-2280-gen-3-0-4-carriles-snvs-250g</t>
  </si>
  <si>
    <t>Kingston 250 GB SSD NVMe NV1/PCIe/M.2 2280/Gen 3.0/4 Carriles-SNVS/250G</t>
  </si>
  <si>
    <t>Mayor velocidad de Lectura y Escritura: más eficiencia para mayor performance de tus máquinas</t>
  </si>
  <si>
    <t xml:space="preserve">AMAZON </t>
  </si>
  <si>
    <t>https://www.amazon.com/ZimaBoard-servidor-Computadora-Almacenamiento-multimedia/dp/B0BKL7YPBQ/ref=sr_1_1_sspa?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t>
  </si>
  <si>
    <t>ZimaBoard 832 Router de servidor de una sola placa X86 Computadora de una sola placa Almacenamiento en la red en la nube personal Servidor multimedia 4K Puerta de enlace Gigabit dual - PCIe x4 SATA</t>
  </si>
  <si>
    <t>El primer servidor de placa única x86 hackable del mundo: ZimaBoard es un servidor de placa única de bajo costo diseñado exclusivamente para fabricantes</t>
  </si>
  <si>
    <t>https://articulo.mercadolibre.com.co/MCO-2256411732-servidor-dell-power-edge-t40-intel-xeon-35-ghz-8g-1tb-_JM#position=1&amp;search_layout=stack&amp;type=item&amp;tracking_id=0fd9fb34-0351-4dd5-bffd-e6bf27036d09</t>
  </si>
  <si>
    <t>Servidor Dell Power Edge T40 Intel Xeon 3.5 Ghz 8g 1tb</t>
  </si>
  <si>
    <t>T40Q3FY22COV1</t>
  </si>
  <si>
    <t>https://articulo.mercadolibre.com.co/MCO-1317854809-cpu-dell-optiplex-5090-core-i5-10ma-gen-8gb-512gb-open-box-_JM?variation=#reco_item_pos=0&amp;reco_backend=pads-retrieval-model-odin_marketplace&amp;reco_backend_type=&amp;reco_client=vip-pads-up&amp;reco_id=4ba4c990-688a-4e14-ba09-aa8d43e7531a&amp;is_advertising=true&amp;ad_domain=VIPDESKTOP_UP&amp;ad_position=1&amp;ad_click_id=ZGYxNDliOTItZTMyNC00Y2ViLThhN2ItYWFkYmMzNDY0NTli</t>
  </si>
  <si>
    <t>Cpu Dell Optiplex 5090 Core I5 10ma Gen 8gb 512gb Open Box</t>
  </si>
  <si>
    <t>EQUIPO PERFECTO PARA TRANSMITIR COMO WEBCAM EN 2 O 3 PAGINAS AL MISMO TIEMPO !</t>
  </si>
  <si>
    <t>https://www.mercadolibre.com.co/memoria-ram-samsung-8gb-ddr3-1600mhz-portatil-laptop/p/MCO14924731?pdp_filters=item_id:MCO1541573376#is_advertising=true&amp;searchVariation=MCO14924731&amp;position=1&amp;search_layout=stack&amp;type=pad&amp;tracking_id=9217704f-2715-469b-afb8-bab5f98c6e2a&amp;is_advertising=true&amp;ad_domain=VQCATCORE_LST&amp;ad_position=1&amp;ad_click_id=ZTY3NGNiNWItYTg0My00YzlmLWFkZGYtYjA0YWZkODA0OGFk</t>
  </si>
  <si>
    <t>Memoria Ram Samsung 8gb Ddr3 1600mhz Portatil Laptop</t>
  </si>
  <si>
    <t>Memoria con formato SODIMM.</t>
  </si>
  <si>
    <t xml:space="preserve">CLONES Y PERIFERICOS </t>
  </si>
  <si>
    <t>https://clonesyperifericos.com/comprar/memoria-ram-corsair-vengeance-rgb-ddr5-48gb-2x24-gb-6000-mhz/</t>
  </si>
  <si>
    <t>MEMORIA RAM CORSAIR VENGEANCE RGB DDR5 48GB (2×24 GB) 6000 MHZ</t>
  </si>
  <si>
    <t>Iluminación RGB dinámica de diez zonas: Ilumina tu sistema con diez LEDs RGB ultra brillantes direccionables individualmente por módulo</t>
  </si>
  <si>
    <t>https://www.pcware.com.co/kingston-8gb-ddr4-pc4-3200mhz-cl-22-260-pin-1-2-v-64bits-non-ecc-kvr32s22s6-8</t>
  </si>
  <si>
    <t>Kingston 8GB DDR4 PC4-3200MHz/CL 22/260 Pin/1.2 V/64Bits/Non-ECC-KVR32S22S6/8</t>
  </si>
  <si>
    <t>La Kingston 8GB DDR4 PC4-3200MHz es un modulo con 260 pines, ideal para armar tu nuevo sistema o actualizar la RAM para darle mayor capacidad, su velocidad de reloj a 3200Mhz sirve en 0,625 nano segundos</t>
  </si>
  <si>
    <t>https://www.mercadolibre.com.co/tarjeta-de-video-g210-1gb-ddr3-hdmi-pci-e/p/MCO36538858?pdp_filters=item_id:MCO2359750672#is_advertising=true&amp;searchVariation=MCO36538858&amp;position=2&amp;search_layout=stack&amp;type=pad&amp;tracking_id=9a9fe571-d45a-45cd-bdf6-b4a7012b264a&amp;is_advertising=true&amp;ad_domain=VQCATCORE_LST&amp;ad_position=2&amp;ad_click_id=ODFlYTdmN2EtZGVhMS00ZTkyLWE1NzctZjU0MjNlODc2M2E0</t>
  </si>
  <si>
    <t>Tarjeta De Video G210 1gb Ddr3 Hdmi Pci E</t>
  </si>
  <si>
    <t>Este componente electrónico procesa la información que llega al dispositivo y los transforma en imágenes o videos para mostrarla visualmente</t>
  </si>
  <si>
    <t>https://clonesyperifericos.com/comprar/tarjeta-xfx-amd-radeon-rx-580-gts-edicion-xxx-8gb/</t>
  </si>
  <si>
    <t>TARJETA XFX AMD RADEON RX 580 GTS EDICIÓN XXX 8GB</t>
  </si>
  <si>
    <t>Compatibilidad con Microsoft® DirectX™ 12</t>
  </si>
  <si>
    <t xml:space="preserve">COMPULAGO </t>
  </si>
  <si>
    <t>https://www.compulago.com/producto/tarjeta-video-20-gb-ddr5-asrock-phantom-gaming-rx-550-1102336897/</t>
  </si>
  <si>
    <t>TARJETA VIDEO 2.0 GB DDR5 ASROCK PHANTOM GAMING RX 550</t>
  </si>
  <si>
    <t>Processador Gráfico AMD Radeon RX 550, PCI Express x16 Gen3 (usa x8), DirectX 12, OpenGL 4.5, Ddr5 2GB, reloj del procesador Hasta 1183MHz</t>
  </si>
  <si>
    <t>https://www.mercadolibre.com.co/procesador-intel-core-i5-14600k-35-ghz-socket-1700/p/MCO28087623#searchVariation=MCO28087623&amp;position=13&amp;search_layout=stack&amp;type=product&amp;tracking_id=1fca398b-5b2e-4e88-a135-acde060ae640</t>
  </si>
  <si>
    <t>Procesador Intel Core I5 14600k 3.5 Ghz Socket 1700</t>
  </si>
  <si>
    <t>Ejecuta programas de edición de videos, creación de contenido, streaming y videojuegos sin afectar el rendimiento del dispositivo.</t>
  </si>
  <si>
    <t xml:space="preserve">COMETWARE </t>
  </si>
  <si>
    <t>https://cometware.com/intel-core-i5-13600k-f-3-5ghz-6p-8e-20-hilos-raptor-lake-procesador-1.html</t>
  </si>
  <si>
    <t>Intel Core i5 13600KF 3.5GHz (6P+8E)20 Hilos Raptor Lake Procesador</t>
  </si>
  <si>
    <t>Potencia de Diseño Térmico 125W</t>
  </si>
  <si>
    <t>https://articulo.mercadolibre.com.co/MCO-1841202220-combo-board-h610m-procesador-intel-core-i7-13700f-pc-_JM#position=13&amp;search_layout=stack&amp;type=item&amp;tracking_id=2dccec45-5e91-4096-aef0-9854c6a970b8</t>
  </si>
  <si>
    <t>Combo Board H610m Procesador Intel Core I7 13700f Pc</t>
  </si>
  <si>
    <t>Soporta Procesadores de 12ª y 13ª Generación Intel® Core™ (Socket 1700)</t>
  </si>
  <si>
    <t xml:space="preserve"> </t>
  </si>
  <si>
    <t>Hostinger</t>
  </si>
  <si>
    <t>https://www.hostinger.co</t>
  </si>
  <si>
    <t>$149,900</t>
  </si>
  <si>
    <t>Incluye SSL y correo</t>
  </si>
  <si>
    <t>Neolo</t>
  </si>
  <si>
    <t>https://www.neolo.com/co</t>
  </si>
  <si>
    <t>$ 180,000</t>
  </si>
  <si>
    <t>$ 178,381</t>
  </si>
  <si>
    <t>$ 44 USD</t>
  </si>
  <si>
    <t>$ 214,200</t>
  </si>
  <si>
    <t>$ 53 USD</t>
  </si>
  <si>
    <t>Dominio .com GRATIS el primer año.</t>
  </si>
  <si>
    <t>Dongee</t>
  </si>
  <si>
    <t>https://www.dongee.com</t>
  </si>
  <si>
    <t>$ 160,000</t>
  </si>
  <si>
    <t>$ 190,400</t>
  </si>
  <si>
    <t>$ 47 USD</t>
  </si>
  <si>
    <t>Incluye cPanel.</t>
  </si>
  <si>
    <t>Godaddy</t>
  </si>
  <si>
    <t>https://www.godaddy.com</t>
  </si>
  <si>
    <t>$52,000</t>
  </si>
  <si>
    <t>$9,880</t>
  </si>
  <si>
    <t>$ 16 USD</t>
  </si>
  <si>
    <t>Renovación a precio estándar</t>
  </si>
  <si>
    <t>Namecheap</t>
  </si>
  <si>
    <t>https://www.namecheap.com</t>
  </si>
  <si>
    <t>$ 45,000</t>
  </si>
  <si>
    <t>$ 53,550</t>
  </si>
  <si>
    <t>$ 13 USD</t>
  </si>
  <si>
    <t>DNS gratis.</t>
  </si>
  <si>
    <t>https://www.hostinger.co/domains</t>
  </si>
  <si>
    <t>$ 48,900</t>
  </si>
  <si>
    <t>$ 58,191</t>
  </si>
  <si>
    <t>$ 14 USD</t>
  </si>
  <si>
    <t>Protección WHOIS opcional.</t>
  </si>
  <si>
    <t>Google</t>
  </si>
  <si>
    <t>https://play.google.com</t>
  </si>
  <si>
    <t>$142,800</t>
  </si>
  <si>
    <t>$ 25 USD</t>
  </si>
  <si>
    <t>Pago único de por vida.</t>
  </si>
  <si>
    <t>1 USD = 4,000 COP</t>
  </si>
  <si>
    <r>
      <t>Descripción del
bien/ servicio (b)</t>
    </r>
    <r>
      <rPr>
        <i/>
        <sz val="10"/>
        <color theme="1"/>
        <rFont val="Trebuchet MS"/>
        <family val="2"/>
      </rPr>
      <t xml:space="preserve">
</t>
    </r>
    <r>
      <rPr>
        <i/>
        <sz val="8"/>
        <color theme="1"/>
        <rFont val="Trebuchet MS"/>
        <family val="2"/>
      </rPr>
      <t>Características de los bienes/ servicios</t>
    </r>
  </si>
  <si>
    <t>HOSTING</t>
  </si>
  <si>
    <t xml:space="preserve">DOMINIO .COM </t>
  </si>
  <si>
    <t>PUBLICACIÓN EN GOOGLE PLAY</t>
  </si>
  <si>
    <r>
      <rPr>
        <b/>
        <sz val="10"/>
        <color rgb="FF000000"/>
        <rFont val="Arial"/>
        <family val="2"/>
        <scheme val="minor"/>
      </rPr>
      <t>Nota:</t>
    </r>
    <r>
      <rPr>
        <sz val="10"/>
        <color rgb="FF000000"/>
        <rFont val="Arial"/>
        <family val="2"/>
        <scheme val="minor"/>
      </rPr>
      <t xml:space="preserve"> La publicación en Google Play Store solo puede ser adquirida directamente con Google, por tal motivo no es posible obtener tres cotizaciones para este servicio.</t>
    </r>
  </si>
  <si>
    <t>Servicio de alojamiento web anual que permite publicar y mantener en línea el aplicativo del proyecto. Ofrece recursos optimizados para sitios pequeños y medianos con acceso garantizado y estabilidad.</t>
  </si>
  <si>
    <t>Plan de hosting básico por un año para alojar aplicaciones web de bajo consumo, ideal para proyectos académicos y prototipos funcionales. Permite gestionar archivos, correos y bases de datos desde un único panel.</t>
  </si>
  <si>
    <t>Servicio de alojamiento web económico orientado a proyectos iniciales. Brinda los recursos esenciales para desplegar y administrar un aplicativo web con acceso a herramientas de gestión profesional.</t>
  </si>
  <si>
    <t>Registro de un dominio web con extensión “.com” por un período de un año. Permite asignar una dirección única y profesional al aplicativo del proyecto, facilitando el acceso de los usuarios.</t>
  </si>
  <si>
    <t>Servicio de registro de dominio internacional “.com” por un año, utilizado para identificar el sitio web y garantizar una dirección fácil de recordar para los usuarios del aplicativo.</t>
  </si>
  <si>
    <t>Registro anual de dominio .com para uso en el proyecto académico. Proporciona una identidad web formal y permite conectar el dominio al alojamiento contratado.</t>
  </si>
  <si>
    <t>Pago único requerido para crear una cuenta de desarrollador en Google Play Console y habilitar la publicación del aplicativo móvil del proyecto. Este pago permite gestionar la app, subir nuevas versiones y acceder a herramientas oficiales de análisis y administración.</t>
  </si>
  <si>
    <t xml:space="preserve">Software / Herramienta)
</t>
  </si>
  <si>
    <t>Descripción</t>
  </si>
  <si>
    <t>Costo COP</t>
  </si>
  <si>
    <t>Tipo de licencia</t>
  </si>
  <si>
    <t>Figma</t>
  </si>
  <si>
    <t>Diseño de interfaces para el aplicativo</t>
  </si>
  <si>
    <t xml:space="preserve">$0
</t>
  </si>
  <si>
    <t>Gratis / Free Tier</t>
  </si>
  <si>
    <t>Visual Studio Code</t>
  </si>
  <si>
    <t>Editor de código multiplataforma</t>
  </si>
  <si>
    <t>Open Source</t>
  </si>
  <si>
    <t>$0</t>
  </si>
  <si>
    <t>Firebase</t>
  </si>
  <si>
    <t>Autenticación, hosting, base de datos básica</t>
  </si>
  <si>
    <t>Plan gratuito</t>
  </si>
  <si>
    <t>Software gratuitos</t>
  </si>
  <si>
    <t>GitHub</t>
  </si>
  <si>
    <t>Control de versiones</t>
  </si>
  <si>
    <t>MySQL</t>
  </si>
  <si>
    <t>Gestor de base de datos</t>
  </si>
  <si>
    <t>$ 125,000 aprox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</si>
</sst>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quot;#,##0_);[Red]\(&quot;$&quot;#,##0\)"/>
    <numFmt numFmtId="165" formatCode="&quot;$&quot;#,##0.00_);[Red]\(&quot;$&quot;#,##0.00\)"/>
    <numFmt numFmtId="166" formatCode="_(&quot;$&quot;* #,##0.00_);_(&quot;$&quot;* \(#,##0.00\);_(&quot;$&quot;* &quot;-&quot;??_);_(@_)"/>
    <numFmt numFmtId="167" formatCode="_([$$-409]* #,##0.00_);_([$$-409]* \(#,##0.00\);_([$$-409]* &quot;-&quot;??_);_(@_)"/>
    <numFmt numFmtId="168" formatCode="_-[$$-240A]\ * #,##0.00_-;\-[$$-240A]\ * #,##0.00_-;_-[$$-240A]\ * &quot;-&quot;??_-;_-@_-"/>
    <numFmt numFmtId="169" formatCode="_-[$$-409]* #,##0.00_ ;_-[$$-409]* \-#,##0.00\ ;_-[$$-409]* &quot;-&quot;??_ ;_-@_ "/>
  </numFmts>
  <fonts count="48">
    <font>
      <sz val="10"/>
      <color rgb="FF000000"/>
      <name val="Arial"/>
      <scheme val="minor"/>
    </font>
    <font>
      <sz val="10"/>
      <color theme="1"/>
      <name val="Arial"/>
      <family val="2"/>
    </font>
    <font>
      <b/>
      <sz val="12"/>
      <color theme="1"/>
      <name val="Arial"/>
      <family val="2"/>
    </font>
    <font>
      <sz val="10"/>
      <name val="Arial"/>
      <family val="2"/>
    </font>
    <font>
      <b/>
      <sz val="10"/>
      <color theme="1"/>
      <name val="Arial"/>
      <family val="2"/>
    </font>
    <font>
      <b/>
      <sz val="10"/>
      <color theme="1"/>
      <name val="Trebuchet MS"/>
      <family val="2"/>
    </font>
    <font>
      <b/>
      <u/>
      <sz val="10"/>
      <color theme="1"/>
      <name val="Trebuchet MS"/>
      <family val="2"/>
    </font>
    <font>
      <i/>
      <sz val="10"/>
      <color theme="1"/>
      <name val="Arial"/>
      <family val="2"/>
    </font>
    <font>
      <sz val="10"/>
      <color theme="1"/>
      <name val="Trebuchet MS"/>
      <family val="2"/>
    </font>
    <font>
      <u/>
      <sz val="10"/>
      <color rgb="FF000000"/>
      <name val="Trebuchet MS"/>
      <family val="2"/>
    </font>
    <font>
      <sz val="10"/>
      <color rgb="FF231F20"/>
      <name val="Trebuchet MS"/>
      <family val="2"/>
    </font>
    <font>
      <sz val="10"/>
      <color theme="1"/>
      <name val="Arial Narrow"/>
      <family val="2"/>
    </font>
    <font>
      <sz val="10"/>
      <color rgb="FF000000"/>
      <name val="Trebuchet MS"/>
      <family val="2"/>
    </font>
    <font>
      <i/>
      <sz val="8"/>
      <color theme="1"/>
      <name val="Trebuchet MS"/>
      <family val="2"/>
    </font>
    <font>
      <i/>
      <sz val="10"/>
      <color theme="1"/>
      <name val="Trebuchet MS"/>
      <family val="2"/>
    </font>
    <font>
      <i/>
      <u/>
      <sz val="8"/>
      <color theme="1"/>
      <name val="Trebuchet MS"/>
      <family val="2"/>
    </font>
    <font>
      <i/>
      <sz val="8"/>
      <color theme="1"/>
      <name val="Arial"/>
      <family val="2"/>
    </font>
    <font>
      <b/>
      <i/>
      <sz val="8"/>
      <color theme="1"/>
      <name val="Arial"/>
      <family val="2"/>
    </font>
    <font>
      <u/>
      <sz val="10"/>
      <color theme="10"/>
      <name val="Arial"/>
      <family val="2"/>
      <scheme val="minor"/>
    </font>
    <font>
      <sz val="10"/>
      <color rgb="FF000000"/>
      <name val="Arial"/>
      <family val="2"/>
      <scheme val="minor"/>
    </font>
    <font>
      <sz val="10"/>
      <color rgb="FF3C4B71"/>
      <name val="Arial"/>
      <family val="2"/>
      <scheme val="minor"/>
    </font>
    <font>
      <sz val="10"/>
      <color rgb="FF222222"/>
      <name val="Inherit"/>
    </font>
    <font>
      <sz val="10"/>
      <name val="&quot;Proxima Nova&quot;"/>
    </font>
    <font>
      <b/>
      <sz val="10"/>
      <name val="&quot;open sans&quot;"/>
    </font>
    <font>
      <sz val="10"/>
      <name val="Montserrat"/>
    </font>
    <font>
      <b/>
      <sz val="10"/>
      <color theme="1"/>
      <name val="Arial"/>
      <family val="2"/>
      <scheme val="major"/>
    </font>
    <font>
      <i/>
      <sz val="10"/>
      <color theme="1"/>
      <name val="Arial"/>
      <family val="2"/>
      <scheme val="major"/>
    </font>
    <font>
      <b/>
      <u/>
      <sz val="10"/>
      <color theme="1"/>
      <name val="Arial"/>
      <family val="2"/>
      <scheme val="major"/>
    </font>
    <font>
      <sz val="10"/>
      <color rgb="FF000000"/>
      <name val="Arial"/>
      <family val="2"/>
      <scheme val="major"/>
    </font>
    <font>
      <u/>
      <sz val="10"/>
      <color theme="10"/>
      <name val="Arial"/>
      <family val="2"/>
      <scheme val="major"/>
    </font>
    <font>
      <sz val="10"/>
      <color theme="1"/>
      <name val="Arial"/>
      <family val="2"/>
      <scheme val="major"/>
    </font>
    <font>
      <u/>
      <sz val="10"/>
      <color rgb="FF000000"/>
      <name val="Arial"/>
      <family val="2"/>
      <scheme val="major"/>
    </font>
    <font>
      <sz val="10"/>
      <color rgb="FF444444"/>
      <name val="Arial"/>
      <family val="2"/>
      <scheme val="major"/>
    </font>
    <font>
      <i/>
      <u/>
      <sz val="10"/>
      <color theme="1"/>
      <name val="Arial"/>
      <family val="2"/>
      <scheme val="major"/>
    </font>
    <font>
      <sz val="10"/>
      <color rgb="FF231F20"/>
      <name val="Arial"/>
      <family val="2"/>
      <scheme val="major"/>
    </font>
    <font>
      <sz val="10"/>
      <color rgb="FF333333"/>
      <name val="Arial"/>
      <family val="2"/>
      <scheme val="major"/>
    </font>
    <font>
      <sz val="10"/>
      <color rgb="FF666666"/>
      <name val="Arial"/>
      <family val="2"/>
      <scheme val="major"/>
    </font>
    <font>
      <b/>
      <sz val="10"/>
      <color rgb="FF333E48"/>
      <name val="Arial"/>
      <family val="2"/>
      <scheme val="major"/>
    </font>
    <font>
      <sz val="10"/>
      <color rgb="FF333E48"/>
      <name val="Arial"/>
      <family val="2"/>
      <scheme val="major"/>
    </font>
    <font>
      <sz val="9"/>
      <name val="Arial"/>
      <family val="2"/>
      <scheme val="major"/>
    </font>
    <font>
      <sz val="10"/>
      <name val="Arial"/>
      <family val="2"/>
      <scheme val="major"/>
    </font>
    <font>
      <sz val="10"/>
      <color rgb="FF4A4A4A"/>
      <name val="Arial"/>
      <family val="2"/>
      <scheme val="major"/>
    </font>
    <font>
      <sz val="10"/>
      <color rgb="FF0F1111"/>
      <name val="Arial"/>
      <family val="2"/>
      <scheme val="major"/>
    </font>
    <font>
      <u/>
      <sz val="10"/>
      <name val="Arial"/>
      <family val="2"/>
      <scheme val="major"/>
    </font>
    <font>
      <sz val="10"/>
      <color theme="1"/>
      <name val="Arial"/>
      <family val="2"/>
      <scheme val="minor"/>
    </font>
    <font>
      <u/>
      <sz val="9"/>
      <name val="Arial"/>
      <family val="2"/>
      <scheme val="major"/>
    </font>
    <font>
      <sz val="8"/>
      <name val="Arial"/>
      <family val="2"/>
      <scheme val="minor"/>
    </font>
    <font>
      <b/>
      <sz val="10"/>
      <color rgb="FF000000"/>
      <name val="Arial"/>
      <family val="2"/>
      <scheme val="minor"/>
    </font>
  </fonts>
  <fills count="8">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s>
  <borders count="1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8" fillId="0" borderId="0" applyNumberFormat="0" applyFill="0" applyBorder="0" applyAlignment="0" applyProtection="0"/>
    <xf numFmtId="166" fontId="19" fillId="0" borderId="0" applyFont="0" applyFill="0" applyBorder="0" applyAlignment="0" applyProtection="0"/>
    <xf numFmtId="9" fontId="19" fillId="0" borderId="0" applyFont="0" applyFill="0" applyBorder="0" applyAlignment="0" applyProtection="0"/>
  </cellStyleXfs>
  <cellXfs count="121">
    <xf numFmtId="0" fontId="0" fillId="0" borderId="0" xfId="0"/>
    <xf numFmtId="0" fontId="1" fillId="0" borderId="0" xfId="0" applyFont="1"/>
    <xf numFmtId="0" fontId="4"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0" xfId="0" applyFont="1" applyAlignment="1">
      <alignment horizontal="center" vertical="center"/>
    </xf>
    <xf numFmtId="0" fontId="4" fillId="0" borderId="3" xfId="0" applyFont="1" applyBorder="1" applyAlignment="1">
      <alignment horizontal="center" vertical="center"/>
    </xf>
    <xf numFmtId="0" fontId="8" fillId="0" borderId="3" xfId="0" applyFont="1" applyBorder="1" applyAlignment="1">
      <alignment horizontal="center" vertical="top" wrapText="1"/>
    </xf>
    <xf numFmtId="3" fontId="8" fillId="0" borderId="3" xfId="0" applyNumberFormat="1" applyFont="1" applyBorder="1" applyAlignment="1">
      <alignment horizontal="center" vertical="top" wrapText="1"/>
    </xf>
    <xf numFmtId="0" fontId="1" fillId="0" borderId="3" xfId="0" applyFont="1" applyBorder="1"/>
    <xf numFmtId="0" fontId="8" fillId="0" borderId="3" xfId="0" applyFont="1" applyBorder="1" applyAlignment="1">
      <alignment horizontal="left" vertical="top" wrapText="1"/>
    </xf>
    <xf numFmtId="0" fontId="11" fillId="0" borderId="0" xfId="0" applyFont="1" applyAlignment="1">
      <alignment horizontal="center" vertical="center" wrapText="1"/>
    </xf>
    <xf numFmtId="0" fontId="4"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4" borderId="5"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7" xfId="0" applyFont="1" applyBorder="1" applyAlignment="1">
      <alignment horizontal="center" vertical="center"/>
    </xf>
    <xf numFmtId="0" fontId="1" fillId="0" borderId="7" xfId="0" applyFont="1" applyBorder="1"/>
    <xf numFmtId="0" fontId="12" fillId="0" borderId="3" xfId="0" applyFont="1" applyBorder="1" applyAlignment="1">
      <alignment horizontal="center" vertical="center" wrapText="1"/>
    </xf>
    <xf numFmtId="0" fontId="18" fillId="0" borderId="3" xfId="1" applyBorder="1" applyAlignment="1">
      <alignment horizontal="center" vertical="center" wrapText="1"/>
    </xf>
    <xf numFmtId="0" fontId="0" fillId="6" borderId="3" xfId="0" applyFill="1" applyBorder="1" applyAlignment="1">
      <alignment horizontal="center" vertical="center" wrapText="1"/>
    </xf>
    <xf numFmtId="168" fontId="12" fillId="0" borderId="3" xfId="0" applyNumberFormat="1" applyFont="1" applyBorder="1" applyAlignment="1">
      <alignment horizontal="center" vertical="center" wrapText="1"/>
    </xf>
    <xf numFmtId="167" fontId="12"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20" fillId="6" borderId="3"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4" fillId="0" borderId="4" xfId="0" applyFont="1" applyBorder="1" applyAlignment="1">
      <alignment horizontal="center" vertical="center"/>
    </xf>
    <xf numFmtId="0" fontId="8" fillId="0" borderId="6" xfId="0" applyFont="1" applyBorder="1" applyAlignment="1">
      <alignment horizontal="left" vertical="top" wrapText="1"/>
    </xf>
    <xf numFmtId="0" fontId="25" fillId="3" borderId="3" xfId="0" applyFont="1" applyFill="1" applyBorder="1" applyAlignment="1">
      <alignment horizontal="center" vertical="center" wrapText="1"/>
    </xf>
    <xf numFmtId="0" fontId="25" fillId="0" borderId="3" xfId="0" applyFont="1" applyBorder="1" applyAlignment="1">
      <alignment horizontal="center" vertical="center" wrapText="1"/>
    </xf>
    <xf numFmtId="0" fontId="27" fillId="4" borderId="3"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8" fillId="0" borderId="4" xfId="0" applyFont="1" applyBorder="1" applyAlignment="1">
      <alignment horizontal="center" vertical="center" wrapText="1"/>
    </xf>
    <xf numFmtId="0" fontId="29" fillId="0" borderId="5" xfId="1" applyFont="1" applyBorder="1" applyAlignment="1">
      <alignment vertical="center" wrapText="1"/>
    </xf>
    <xf numFmtId="0" fontId="28" fillId="0" borderId="3" xfId="0" applyFont="1" applyBorder="1" applyAlignment="1">
      <alignment horizontal="center" vertical="center" wrapText="1"/>
    </xf>
    <xf numFmtId="165" fontId="28" fillId="0" borderId="3" xfId="0" applyNumberFormat="1" applyFont="1" applyBorder="1" applyAlignment="1">
      <alignment horizontal="center" vertical="center" wrapText="1"/>
    </xf>
    <xf numFmtId="167" fontId="30" fillId="0" borderId="3" xfId="0" applyNumberFormat="1" applyFont="1" applyBorder="1" applyAlignment="1">
      <alignment horizontal="center" vertical="top" wrapText="1"/>
    </xf>
    <xf numFmtId="0" fontId="28" fillId="6" borderId="3" xfId="0" applyFont="1" applyFill="1" applyBorder="1" applyAlignment="1">
      <alignment vertical="center" wrapText="1"/>
    </xf>
    <xf numFmtId="0" fontId="29" fillId="6" borderId="3" xfId="1"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7" borderId="3" xfId="0" applyFont="1" applyFill="1" applyBorder="1" applyAlignment="1">
      <alignment vertical="center" wrapText="1"/>
    </xf>
    <xf numFmtId="0" fontId="29" fillId="0" borderId="3" xfId="1" applyFont="1" applyBorder="1" applyAlignment="1">
      <alignment horizontal="center" vertical="center" wrapText="1"/>
    </xf>
    <xf numFmtId="0" fontId="32" fillId="6" borderId="3" xfId="0" applyFont="1" applyFill="1" applyBorder="1" applyAlignment="1">
      <alignment horizontal="center" vertical="center" wrapText="1"/>
    </xf>
    <xf numFmtId="164" fontId="28" fillId="0" borderId="3" xfId="0" applyNumberFormat="1" applyFont="1" applyBorder="1" applyAlignment="1">
      <alignment horizontal="center" vertical="center" wrapText="1"/>
    </xf>
    <xf numFmtId="0" fontId="28" fillId="0" borderId="7" xfId="0" applyFont="1" applyBorder="1" applyAlignment="1">
      <alignment horizontal="center" vertical="center" wrapText="1"/>
    </xf>
    <xf numFmtId="0" fontId="29" fillId="0" borderId="7" xfId="1" applyFont="1" applyBorder="1" applyAlignment="1">
      <alignment horizontal="center" vertical="center" wrapText="1"/>
    </xf>
    <xf numFmtId="0" fontId="28" fillId="6" borderId="7" xfId="0" applyFont="1" applyFill="1" applyBorder="1" applyAlignment="1">
      <alignment horizontal="center" vertical="center" wrapText="1"/>
    </xf>
    <xf numFmtId="164" fontId="28" fillId="0" borderId="7" xfId="0" applyNumberFormat="1" applyFont="1" applyBorder="1" applyAlignment="1">
      <alignment horizontal="center" vertical="center" wrapText="1"/>
    </xf>
    <xf numFmtId="165" fontId="28" fillId="0" borderId="7" xfId="0" applyNumberFormat="1" applyFont="1" applyBorder="1" applyAlignment="1">
      <alignment horizontal="center" vertical="center" wrapText="1"/>
    </xf>
    <xf numFmtId="167" fontId="30" fillId="0" borderId="7" xfId="0" applyNumberFormat="1" applyFont="1" applyBorder="1" applyAlignment="1">
      <alignment horizontal="center" vertical="top" wrapText="1"/>
    </xf>
    <xf numFmtId="0" fontId="28" fillId="6" borderId="7" xfId="0" applyFont="1" applyFill="1" applyBorder="1" applyAlignment="1">
      <alignment horizontal="center" wrapText="1"/>
    </xf>
    <xf numFmtId="0" fontId="34" fillId="0" borderId="7" xfId="0" applyFont="1" applyBorder="1" applyAlignment="1">
      <alignment horizontal="center" vertical="center" wrapText="1"/>
    </xf>
    <xf numFmtId="0" fontId="35" fillId="6" borderId="7" xfId="0" applyFont="1" applyFill="1" applyBorder="1" applyAlignment="1">
      <alignment horizontal="center" vertical="center" wrapText="1"/>
    </xf>
    <xf numFmtId="0" fontId="30" fillId="0" borderId="7" xfId="0" applyFont="1" applyBorder="1" applyAlignment="1">
      <alignment horizontal="left" vertical="top" wrapText="1"/>
    </xf>
    <xf numFmtId="167" fontId="28" fillId="0" borderId="7" xfId="0" applyNumberFormat="1" applyFont="1" applyBorder="1" applyAlignment="1">
      <alignment horizontal="center" vertical="top" wrapText="1"/>
    </xf>
    <xf numFmtId="168" fontId="28" fillId="6" borderId="7" xfId="0" applyNumberFormat="1" applyFont="1" applyFill="1" applyBorder="1" applyAlignment="1">
      <alignment horizontal="center" vertical="center" wrapText="1"/>
    </xf>
    <xf numFmtId="168" fontId="28" fillId="0" borderId="7" xfId="0" applyNumberFormat="1" applyFont="1" applyBorder="1" applyAlignment="1">
      <alignment horizontal="center" vertical="center" wrapText="1"/>
    </xf>
    <xf numFmtId="0" fontId="32" fillId="6" borderId="7" xfId="0" applyFont="1" applyFill="1" applyBorder="1" applyAlignment="1">
      <alignment horizontal="center" vertical="center" wrapText="1"/>
    </xf>
    <xf numFmtId="168" fontId="28" fillId="0" borderId="7" xfId="2" applyNumberFormat="1" applyFont="1" applyBorder="1" applyAlignment="1">
      <alignment horizontal="center" vertical="center" wrapText="1"/>
    </xf>
    <xf numFmtId="168" fontId="28" fillId="6" borderId="7" xfId="2" applyNumberFormat="1" applyFont="1" applyFill="1" applyBorder="1" applyAlignment="1">
      <alignment horizontal="center" vertical="center" wrapText="1"/>
    </xf>
    <xf numFmtId="167" fontId="4" fillId="5" borderId="8" xfId="0" applyNumberFormat="1" applyFont="1" applyFill="1" applyBorder="1" applyAlignment="1">
      <alignment horizontal="center" vertical="center" wrapText="1"/>
    </xf>
    <xf numFmtId="0" fontId="36" fillId="6" borderId="7" xfId="0" applyFont="1" applyFill="1" applyBorder="1" applyAlignment="1">
      <alignment horizontal="center" vertical="center" wrapText="1"/>
    </xf>
    <xf numFmtId="167" fontId="30" fillId="0" borderId="7" xfId="3" applyNumberFormat="1" applyFont="1" applyBorder="1" applyAlignment="1">
      <alignment horizontal="center" vertical="top" wrapText="1"/>
    </xf>
    <xf numFmtId="0" fontId="37" fillId="6" borderId="7" xfId="0" applyFont="1" applyFill="1" applyBorder="1" applyAlignment="1">
      <alignment horizontal="center" vertical="center" wrapText="1"/>
    </xf>
    <xf numFmtId="0" fontId="38" fillId="6" borderId="7" xfId="0" applyFont="1" applyFill="1" applyBorder="1" applyAlignment="1">
      <alignment horizontal="center" vertical="center" wrapText="1"/>
    </xf>
    <xf numFmtId="0" fontId="1" fillId="0" borderId="4" xfId="0" applyFont="1" applyBorder="1"/>
    <xf numFmtId="0" fontId="35" fillId="6" borderId="7" xfId="0" applyFont="1" applyFill="1" applyBorder="1" applyAlignment="1">
      <alignment vertical="center" wrapText="1"/>
    </xf>
    <xf numFmtId="168" fontId="40" fillId="6" borderId="7" xfId="0" applyNumberFormat="1" applyFont="1" applyFill="1" applyBorder="1" applyAlignment="1">
      <alignment horizontal="center" vertical="center" wrapText="1"/>
    </xf>
    <xf numFmtId="0" fontId="32" fillId="7" borderId="7" xfId="0" applyFont="1" applyFill="1" applyBorder="1" applyAlignment="1">
      <alignment vertical="center" wrapText="1"/>
    </xf>
    <xf numFmtId="0" fontId="28" fillId="0" borderId="7" xfId="0" applyFont="1" applyBorder="1" applyAlignment="1">
      <alignment horizontal="left" vertical="center" wrapText="1"/>
    </xf>
    <xf numFmtId="168" fontId="41" fillId="6" borderId="7" xfId="0" applyNumberFormat="1" applyFont="1" applyFill="1" applyBorder="1" applyAlignment="1">
      <alignment horizontal="center" vertical="center" wrapText="1"/>
    </xf>
    <xf numFmtId="0" fontId="31" fillId="0" borderId="7" xfId="0" applyFont="1" applyBorder="1" applyAlignment="1">
      <alignment horizontal="center" vertical="center" wrapText="1"/>
    </xf>
    <xf numFmtId="0" fontId="32" fillId="7" borderId="7" xfId="0" applyFont="1" applyFill="1" applyBorder="1" applyAlignment="1">
      <alignment horizontal="center" vertical="center" wrapText="1"/>
    </xf>
    <xf numFmtId="0" fontId="29" fillId="6" borderId="7" xfId="1" applyFont="1" applyFill="1" applyBorder="1" applyAlignment="1">
      <alignment horizontal="center" vertical="center" wrapText="1"/>
    </xf>
    <xf numFmtId="0" fontId="40" fillId="0" borderId="7" xfId="0" applyFont="1" applyBorder="1" applyAlignment="1">
      <alignment horizontal="center" vertical="center" wrapText="1"/>
    </xf>
    <xf numFmtId="0" fontId="43" fillId="0" borderId="7" xfId="1" applyFont="1" applyBorder="1" applyAlignment="1">
      <alignment horizontal="center" vertical="center" wrapText="1"/>
    </xf>
    <xf numFmtId="0" fontId="40" fillId="6" borderId="7" xfId="0" applyFont="1" applyFill="1" applyBorder="1" applyAlignment="1">
      <alignment horizontal="center" vertical="center" wrapText="1"/>
    </xf>
    <xf numFmtId="168" fontId="40" fillId="0" borderId="7" xfId="0" applyNumberFormat="1" applyFont="1" applyBorder="1" applyAlignment="1">
      <alignment horizontal="center" vertical="center" wrapText="1"/>
    </xf>
    <xf numFmtId="167" fontId="40" fillId="0" borderId="7" xfId="0" applyNumberFormat="1" applyFont="1" applyBorder="1" applyAlignment="1">
      <alignment horizontal="center" vertical="center" wrapText="1"/>
    </xf>
    <xf numFmtId="0" fontId="40" fillId="6" borderId="7" xfId="0" applyFont="1" applyFill="1" applyBorder="1" applyAlignment="1">
      <alignment horizontal="center" wrapText="1"/>
    </xf>
    <xf numFmtId="167" fontId="40" fillId="6" borderId="7" xfId="0" applyNumberFormat="1" applyFont="1" applyFill="1" applyBorder="1" applyAlignment="1">
      <alignment horizontal="center" vertical="center" wrapText="1"/>
    </xf>
    <xf numFmtId="166" fontId="40" fillId="0" borderId="7" xfId="2" applyFont="1" applyBorder="1" applyAlignment="1">
      <alignment horizontal="center" vertical="center" wrapText="1"/>
    </xf>
    <xf numFmtId="0" fontId="44" fillId="0" borderId="0" xfId="0" applyFont="1"/>
    <xf numFmtId="0" fontId="40" fillId="7" borderId="7" xfId="0" applyFont="1" applyFill="1" applyBorder="1" applyAlignment="1">
      <alignment horizontal="center" vertical="center" wrapText="1"/>
    </xf>
    <xf numFmtId="3" fontId="8" fillId="0" borderId="6" xfId="0" applyNumberFormat="1" applyFont="1" applyBorder="1" applyAlignment="1">
      <alignment horizontal="center" vertical="top" wrapText="1"/>
    </xf>
    <xf numFmtId="0" fontId="39" fillId="0" borderId="7" xfId="0" applyFont="1" applyBorder="1" applyAlignment="1">
      <alignment horizontal="center" vertical="center" wrapText="1"/>
    </xf>
    <xf numFmtId="0" fontId="40" fillId="0" borderId="7" xfId="0" applyFont="1" applyBorder="1" applyAlignment="1">
      <alignment horizontal="center" vertical="top" wrapText="1"/>
    </xf>
    <xf numFmtId="0" fontId="43" fillId="0" borderId="7" xfId="0" applyFont="1" applyBorder="1" applyAlignment="1">
      <alignment horizontal="center" vertical="top" wrapText="1"/>
    </xf>
    <xf numFmtId="0" fontId="45" fillId="0" borderId="7" xfId="0" applyFont="1" applyBorder="1" applyAlignment="1">
      <alignment horizontal="center" vertical="center" wrapText="1"/>
    </xf>
    <xf numFmtId="169" fontId="9" fillId="0" borderId="3" xfId="0" applyNumberFormat="1" applyFont="1" applyBorder="1" applyAlignment="1">
      <alignment horizontal="center" vertical="center" wrapText="1"/>
    </xf>
    <xf numFmtId="169" fontId="31" fillId="6" borderId="3" xfId="0" applyNumberFormat="1" applyFont="1" applyFill="1" applyBorder="1" applyAlignment="1">
      <alignment horizontal="center" vertical="center" wrapText="1"/>
    </xf>
    <xf numFmtId="169" fontId="31" fillId="6" borderId="7" xfId="0" applyNumberFormat="1" applyFont="1" applyFill="1" applyBorder="1" applyAlignment="1">
      <alignment horizontal="center" vertical="center" wrapText="1"/>
    </xf>
    <xf numFmtId="169" fontId="31" fillId="6" borderId="9" xfId="0" applyNumberFormat="1" applyFont="1" applyFill="1" applyBorder="1" applyAlignment="1">
      <alignment horizontal="center" vertical="center" wrapText="1"/>
    </xf>
    <xf numFmtId="0" fontId="28" fillId="6" borderId="10" xfId="0" applyFont="1" applyFill="1" applyBorder="1" applyAlignment="1">
      <alignment horizontal="center" vertical="center" wrapText="1"/>
    </xf>
    <xf numFmtId="0" fontId="42" fillId="6" borderId="10" xfId="0" applyFont="1" applyFill="1" applyBorder="1" applyAlignment="1">
      <alignment horizontal="center" vertical="center" wrapText="1"/>
    </xf>
    <xf numFmtId="0" fontId="36" fillId="6" borderId="10" xfId="0" applyFont="1" applyFill="1" applyBorder="1" applyAlignment="1">
      <alignment horizontal="center" vertical="center" wrapText="1"/>
    </xf>
    <xf numFmtId="0" fontId="0" fillId="0" borderId="3" xfId="0" applyBorder="1" applyAlignment="1">
      <alignment horizontal="center" vertical="center"/>
    </xf>
    <xf numFmtId="43" fontId="43" fillId="6" borderId="7" xfId="0" applyNumberFormat="1" applyFont="1" applyFill="1" applyBorder="1" applyAlignment="1">
      <alignment horizontal="center" vertical="center" wrapText="1"/>
    </xf>
    <xf numFmtId="169" fontId="43" fillId="6" borderId="7" xfId="0" applyNumberFormat="1" applyFont="1" applyFill="1" applyBorder="1" applyAlignment="1">
      <alignment horizontal="center" vertical="center" wrapText="1"/>
    </xf>
    <xf numFmtId="168" fontId="43" fillId="6" borderId="7" xfId="0" applyNumberFormat="1" applyFont="1" applyFill="1" applyBorder="1" applyAlignment="1">
      <alignment horizontal="center" vertical="center" wrapText="1"/>
    </xf>
    <xf numFmtId="0" fontId="18" fillId="0" borderId="7" xfId="1" applyBorder="1" applyAlignment="1">
      <alignment horizontal="center" vertical="center" wrapText="1"/>
    </xf>
    <xf numFmtId="0" fontId="19" fillId="0" borderId="0" xfId="0" applyFont="1"/>
    <xf numFmtId="0" fontId="2" fillId="0" borderId="0" xfId="0" applyFont="1" applyAlignment="1">
      <alignment horizontal="center" vertical="center"/>
    </xf>
    <xf numFmtId="0" fontId="0" fillId="0" borderId="0" xfId="0" applyAlignment="1"/>
    <xf numFmtId="0" fontId="2" fillId="2" borderId="4" xfId="0" applyFont="1" applyFill="1" applyBorder="1" applyAlignment="1">
      <alignment horizontal="center" vertical="center" wrapText="1"/>
    </xf>
    <xf numFmtId="0" fontId="3" fillId="0" borderId="1" xfId="0" applyFont="1" applyBorder="1" applyAlignment="1"/>
    <xf numFmtId="0" fontId="3" fillId="0" borderId="2" xfId="0" applyFont="1" applyBorder="1" applyAlignment="1"/>
    <xf numFmtId="0" fontId="4" fillId="0" borderId="4" xfId="0" applyFont="1" applyBorder="1" applyAlignment="1">
      <alignment horizontal="left" vertical="center" wrapText="1"/>
    </xf>
    <xf numFmtId="0" fontId="28" fillId="0" borderId="7" xfId="0" applyFont="1" applyBorder="1" applyAlignment="1">
      <alignment horizontal="center" vertical="center" wrapText="1"/>
    </xf>
    <xf numFmtId="3" fontId="28" fillId="0" borderId="7" xfId="0" applyNumberFormat="1" applyFont="1" applyBorder="1" applyAlignment="1">
      <alignment horizontal="center" vertical="center" wrapText="1"/>
    </xf>
    <xf numFmtId="0" fontId="35" fillId="6" borderId="7" xfId="0" applyFont="1" applyFill="1" applyBorder="1" applyAlignment="1">
      <alignment horizontal="center" wrapText="1"/>
    </xf>
    <xf numFmtId="0" fontId="2" fillId="0" borderId="4" xfId="0" applyFont="1" applyBorder="1" applyAlignment="1">
      <alignment horizontal="center" vertical="center" wrapText="1"/>
    </xf>
    <xf numFmtId="168" fontId="28" fillId="0" borderId="7"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cellXfs>
  <cellStyles count="4">
    <cellStyle name="Hipervínculo" xfId="1" builtinId="8"/>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lkosto.com/monitor-samsung-32-pulgadas-cm500-smart-display-negro/p/8806095020167" TargetMode="External"/><Relationship Id="rId2" Type="http://schemas.openxmlformats.org/officeDocument/2006/relationships/hyperlink" Target="https://www.alkosto.com/monitor-samsung-gamer-24-pulgadas-g320nl-plano-negro/p/8806094113846" TargetMode="External"/><Relationship Id="rId1" Type="http://schemas.openxmlformats.org/officeDocument/2006/relationships/hyperlink" Target="https://www.mercadolibre.com.co/monitor-curvo-27-fhd-diseno-sin-bordes-color-black-100v240v/p/MCO17431651?pdp_filters=category%3AMCO1656&amp;quantity=3"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com.co/falabella-co/product/118315377/Unidad-Estado-Solido-SSD-Interno-Adata-XPG-S40G-1TB/118315378" TargetMode="External"/><Relationship Id="rId1" Type="http://schemas.openxmlformats.org/officeDocument/2006/relationships/hyperlink" Target="https://www.mercadolibre.com.co/disco-solido-ssd-interno-crucial-ct500bx500ssd1-500gb-negro/p/MCO19614825?pdp_filters=category:MCO1672"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ktronix.com/disco-duro-toshiba-basic-2tb/p/723844001346" TargetMode="External"/><Relationship Id="rId1" Type="http://schemas.openxmlformats.org/officeDocument/2006/relationships/hyperlink" Target="https://www.mercadolibre.com.co/disco-solido-ssd-interno-kingston-sa400s37240gb-negro/p/MCO19035706?pdp_filters=category:MCO1672"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rticulo.mercadolibre.com.co/MCO-1318522727-servidor-hp-proliant-ml310e-gen8-v2-r16gb-ssd480-xeon-31ghz-_JM" TargetMode="External"/><Relationship Id="rId2" Type="http://schemas.openxmlformats.org/officeDocument/2006/relationships/hyperlink" Target="https://articulo.mercadolibre.com.co/MCO-1318522727-servidor-hp-proliant-ml310e-gen8-v2-r16gb-ssd480-xeon-31ghz-_JM" TargetMode="External"/><Relationship Id="rId1" Type="http://schemas.openxmlformats.org/officeDocument/2006/relationships/hyperlink" Target="https://articulo.mercadolibre.com.co/MCO-1294185577-poweredge-t150-tower-server-intel-xeon-e-2336g16gb2tb-_J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ecnostock.com.co/products/crucial-laptop-ddr4-3200-mhz-sodimm-memory-module?variant=46808587370781&amp;currency=COP&amp;utm_medium=product_sync&amp;utm_source=google&amp;utm_content=sag_organic&amp;utm_campaign=sag_organic&amp;srsltid=AfmBOoqET5a1tgCjO-30b6IPBqHaFs9VneMJjDgoKfxpm8XhSgHhZF9ABDc" TargetMode="External"/><Relationship Id="rId2" Type="http://schemas.openxmlformats.org/officeDocument/2006/relationships/hyperlink" Target="https://listado.mercadolibre.com.co/memoria-ddr4-16gb" TargetMode="External"/><Relationship Id="rId1" Type="http://schemas.openxmlformats.org/officeDocument/2006/relationships/hyperlink" Target="https://speedlogic.com.co/tienda/memorias-ram/memoria-ram-ddr4-16g-3200-cors"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alkosto.com/teclado-hp-alambrico-150-basic-negro/p/196548244195" TargetMode="External"/><Relationship Id="rId1" Type="http://schemas.openxmlformats.org/officeDocument/2006/relationships/hyperlink" Target="https://www.falabella.com.co/falabella-co/product/130536287/Combo-Dell-Wireless-Km3322w-Teclado-+-Mouse/13053628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expocolsuministros.com/product/mouse-logitech-g-inalambrico-gaming-g305-lila/" TargetMode="External"/><Relationship Id="rId2" Type="http://schemas.openxmlformats.org/officeDocument/2006/relationships/hyperlink" Targe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1" Type="http://schemas.openxmlformats.org/officeDocument/2006/relationships/hyperlink" Target="https://www.mercadolibre.com.co/mouse-gamer-vertical-inalambrico-recargable-weibo-wb-881-negro/p/MCO16051104?pdp_filters=item_id:MCO202733961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ktronix.com/computador-portatil-hp-pavilion-156-pulgadas-eg2526la-intel-core-i5-ram-8gb-disco-ssd-512gb-azul/p/198122317813" TargetMode="External"/><Relationship Id="rId2" Type="http://schemas.openxmlformats.org/officeDocument/2006/relationships/hyperlink" Target="https://www.alkosto.com/computador-portatil-asus-vivobook-156-pulgadas-x1504za-intel-core-i5-ram-8gb-disco-ssd-512-gb-azul/p/4711387276068" TargetMode="External"/><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mercadolibre.com.co/monitor-gamer-lg-ultragear-27gr75q-lcd-27-negro-100v240v/p/MCO24122328?pdp_filters=item_id:MCO1413629089" TargetMode="External"/><Relationship Id="rId2" Type="http://schemas.openxmlformats.org/officeDocument/2006/relationships/hyperlink" Target="https://www.falabella.com.co/falabella-co/product/122186554/Monitor-ThinkVision-M14-movil-con-pantalla-tactil-14%E2%80%9D/122186555" TargetMode="External"/><Relationship Id="rId1" Type="http://schemas.openxmlformats.org/officeDocument/2006/relationships/hyperlink" Target="https://www.alkosto.com/monitor-samsung-gamer-32-pulgadas-ag320-plano-negro/p/887276595368"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pcware.com.co/kingston-250-gb-ssd-nvme-nv1-pcie-m-2-2280-gen-3-0-4-carriles-snvs-250g" TargetMode="External"/><Relationship Id="rId2" Type="http://schemas.openxmlformats.org/officeDocument/2006/relationships/hyperlink" Target="https://speedlogic.com.co/tienda/unidades-disco-mecanico/disco-externo-usb-1-tb-toshiba-25-3-0/" TargetMode="External"/><Relationship Id="rId1" Type="http://schemas.openxmlformats.org/officeDocument/2006/relationships/hyperlink" Target="https://www.mercadolibre.com.co/disco-duro-interno-western-digital-wd5000lpzx-25in-500gb-hdd-sata-iii-plata/p/MCO21709406?pdp_filters=category%3AMCO1672"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articulo.mercadolibre.com.co/MCO-1317854809-cpu-dell-optiplex-5090-core-i5-10ma-gen-8gb-512gb-open-box-_JM?variation=" TargetMode="External"/><Relationship Id="rId2" Type="http://schemas.openxmlformats.org/officeDocument/2006/relationships/hyperlink" Target="https://articulo.mercadolibre.com.co/MCO-2256411732-servidor-dell-power-edge-t40-intel-xeon-35-ghz-8g-1tb-_JM" TargetMode="External"/><Relationship Id="rId1" Type="http://schemas.openxmlformats.org/officeDocument/2006/relationships/hyperlink" Target="https://www.amazon.com/ZimaBoard-servidor-Computadora-Almacenamiento-multimedia/dp/B0BKL7YPBQ/ref=sr_1_1_sspa?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pcware.com.co/kingston-8gb-ddr4-pc4-3200mhz-cl-22-260-pin-1-2-v-64bits-non-ecc-kvr32s22s6-8" TargetMode="External"/><Relationship Id="rId2" Type="http://schemas.openxmlformats.org/officeDocument/2006/relationships/hyperlink" Target="https://clonesyperifericos.com/comprar/memoria-ram-corsair-vengeance-rgb-ddr5-48gb-2x24-gb-6000-mhz/" TargetMode="External"/><Relationship Id="rId1" Type="http://schemas.openxmlformats.org/officeDocument/2006/relationships/hyperlink" Target="https://www.mercadolibre.com.co/memoria-ram-samsung-8gb-ddr3-1600mhz-portatil-laptop/p/MCO14924731?pdp_filters=item_id:MCO1541573376"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compulago.com/producto/tarjeta-video-20-gb-ddr5-asrock-phantom-gaming-rx-550-1102336897/" TargetMode="External"/><Relationship Id="rId2" Type="http://schemas.openxmlformats.org/officeDocument/2006/relationships/hyperlink" Target="https://clonesyperifericos.com/comprar/tarjeta-xfx-amd-radeon-rx-580-gts-edicion-xxx-8gb/" TargetMode="External"/><Relationship Id="rId1" Type="http://schemas.openxmlformats.org/officeDocument/2006/relationships/hyperlink" Target="https://www.mercadolibre.com.co/tarjeta-de-video-g210-1gb-ddr3-hdmi-pci-e/p/MCO36538858?pdp_filters=item_id:MCO2359750672"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articulo.mercadolibre.com.co/MCO-1841202220-combo-board-h610m-procesador-intel-core-i7-13700f-pc-_JM" TargetMode="External"/><Relationship Id="rId2" Type="http://schemas.openxmlformats.org/officeDocument/2006/relationships/hyperlink" Target="https://cometware.com/intel-core-i5-13600k-f-3-5ghz-6p-8e-20-hilos-raptor-lake-procesador-1.html" TargetMode="External"/><Relationship Id="rId1" Type="http://schemas.openxmlformats.org/officeDocument/2006/relationships/hyperlink" Target="https://www.mercadolibre.com.co/procesador-intel-core-i5-14600k-35-ghz-socket-1700/p/MCO28087623"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hostinger.co/" TargetMode="External"/><Relationship Id="rId2" Type="http://schemas.openxmlformats.org/officeDocument/2006/relationships/hyperlink" Target="https://www.neolo.com/co" TargetMode="External"/><Relationship Id="rId1" Type="http://schemas.openxmlformats.org/officeDocument/2006/relationships/hyperlink" Target="https://www.dongee.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hostinger.co/domains" TargetMode="External"/><Relationship Id="rId2" Type="http://schemas.openxmlformats.org/officeDocument/2006/relationships/hyperlink" Target="https://www.namecheap.com/" TargetMode="External"/><Relationship Id="rId1" Type="http://schemas.openxmlformats.org/officeDocument/2006/relationships/hyperlink" Target="https://www.godaddy.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play.google.com/"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visualstudio.microsoft.com/es/vs/pricing/" TargetMode="External"/><Relationship Id="rId2" Type="http://schemas.openxmlformats.org/officeDocument/2006/relationships/hyperlink" Target="https://visualstudio.microsoft.com/es/vs/pricing/" TargetMode="External"/><Relationship Id="rId1" Type="http://schemas.openxmlformats.org/officeDocument/2006/relationships/hyperlink" Target="https://visualstudio.microsoft.com/es/vs/pri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4" workbookViewId="0">
      <selection activeCell="H8" sqref="H8:H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19" t="s">
        <v>13</v>
      </c>
      <c r="C8" s="20" t="s">
        <v>14</v>
      </c>
      <c r="D8" s="21" t="s">
        <v>15</v>
      </c>
      <c r="E8" s="22">
        <v>712732</v>
      </c>
      <c r="F8" s="22">
        <v>135419</v>
      </c>
      <c r="G8" s="23">
        <f>(E8+F8)/3900</f>
        <v>217.47461538461539</v>
      </c>
      <c r="H8" s="93">
        <f>G8*3900</f>
        <v>848151</v>
      </c>
      <c r="I8" s="8" t="s">
        <v>16</v>
      </c>
      <c r="J8" s="27" t="s">
        <v>17</v>
      </c>
    </row>
    <row r="9" spans="1:26" ht="50.25" customHeight="1">
      <c r="A9" s="7" t="s">
        <v>18</v>
      </c>
      <c r="B9" s="24" t="s">
        <v>19</v>
      </c>
      <c r="C9" s="20" t="s">
        <v>20</v>
      </c>
      <c r="D9" s="25" t="s">
        <v>21</v>
      </c>
      <c r="E9" s="22">
        <v>589990</v>
      </c>
      <c r="F9" s="22">
        <v>112098.1</v>
      </c>
      <c r="G9" s="23">
        <f t="shared" ref="G9:G10" si="0">(E9+F9)/3900</f>
        <v>180.02258974358975</v>
      </c>
      <c r="H9" s="93">
        <f t="shared" ref="H9:H10" si="1">G9*3900</f>
        <v>702088.1</v>
      </c>
      <c r="I9" s="8" t="s">
        <v>16</v>
      </c>
      <c r="J9" s="28" t="s">
        <v>22</v>
      </c>
    </row>
    <row r="10" spans="1:26" ht="50.25" customHeight="1">
      <c r="A10" s="7" t="s">
        <v>23</v>
      </c>
      <c r="B10" s="19" t="s">
        <v>24</v>
      </c>
      <c r="C10" s="20" t="s">
        <v>25</v>
      </c>
      <c r="D10" s="26" t="s">
        <v>26</v>
      </c>
      <c r="E10" s="22">
        <v>892000</v>
      </c>
      <c r="F10" s="22">
        <v>169480</v>
      </c>
      <c r="G10" s="23">
        <f t="shared" si="0"/>
        <v>272.174358974359</v>
      </c>
      <c r="H10" s="93">
        <f t="shared" si="1"/>
        <v>1061480</v>
      </c>
      <c r="I10" s="8" t="s">
        <v>16</v>
      </c>
      <c r="J10" s="29" t="s">
        <v>27</v>
      </c>
    </row>
    <row r="11" spans="1:26" ht="15" hidden="1" customHeight="1">
      <c r="A11" s="10"/>
      <c r="B11" s="11"/>
      <c r="C11" s="11"/>
      <c r="D11" s="11"/>
      <c r="E11" s="11"/>
      <c r="F11" s="11"/>
      <c r="G11" s="11"/>
      <c r="H11" s="11"/>
      <c r="I11" s="11"/>
      <c r="J11" s="11"/>
    </row>
    <row r="12" spans="1:26" ht="12.75" customHeight="1"/>
    <row r="13" spans="1:26" ht="138.75" customHeight="1">
      <c r="A13" s="111" t="s">
        <v>28</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sition=27&amp;search_layout=stack&amp;type=item&amp;tracking_id=22ccce83-15fd-498b-821b-fb60ba69422b" xr:uid="{373E1F80-BA32-448D-BE5B-05D945CEE1D5}"/>
    <hyperlink ref="C9" r:id="rId2" xr:uid="{0F166E24-F2D9-43A4-928B-3CE849188B97}"/>
    <hyperlink ref="C10" r:id="rId3" xr:uid="{2CD86F92-7A48-4F3C-B177-C4C445072F16}"/>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workbookViewId="0">
      <selection activeCell="I10" sqref="I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32" t="s">
        <v>2</v>
      </c>
      <c r="B7" s="33" t="s">
        <v>30</v>
      </c>
      <c r="C7" s="33" t="s">
        <v>31</v>
      </c>
      <c r="D7" s="33" t="s">
        <v>32</v>
      </c>
      <c r="E7" s="33" t="s">
        <v>33</v>
      </c>
      <c r="F7" s="34" t="s">
        <v>34</v>
      </c>
      <c r="G7" s="35" t="s">
        <v>35</v>
      </c>
      <c r="H7" s="33" t="s">
        <v>9</v>
      </c>
      <c r="I7" s="33" t="s">
        <v>36</v>
      </c>
      <c r="J7" s="33" t="s">
        <v>37</v>
      </c>
      <c r="K7" s="6"/>
      <c r="L7" s="6"/>
      <c r="M7" s="6"/>
      <c r="N7" s="6"/>
      <c r="O7" s="6"/>
      <c r="P7" s="6"/>
      <c r="Q7" s="6"/>
      <c r="R7" s="6"/>
      <c r="S7" s="6"/>
      <c r="T7" s="6"/>
      <c r="U7" s="6"/>
      <c r="V7" s="6"/>
      <c r="W7" s="6"/>
      <c r="X7" s="6"/>
      <c r="Y7" s="6"/>
      <c r="Z7" s="6"/>
    </row>
    <row r="8" spans="1:26" ht="75" customHeight="1">
      <c r="A8" s="33" t="s">
        <v>12</v>
      </c>
      <c r="B8" s="36" t="s">
        <v>38</v>
      </c>
      <c r="C8" s="37" t="s">
        <v>39</v>
      </c>
      <c r="D8" s="38" t="s">
        <v>40</v>
      </c>
      <c r="E8" s="39">
        <v>715300</v>
      </c>
      <c r="F8" s="39">
        <v>135907</v>
      </c>
      <c r="G8" s="40">
        <f>(E8+F8)/3900</f>
        <v>218.25820512820513</v>
      </c>
      <c r="H8" s="94">
        <f>G8*3900</f>
        <v>851207</v>
      </c>
      <c r="I8" s="38" t="s">
        <v>16</v>
      </c>
      <c r="J8" s="41" t="s">
        <v>41</v>
      </c>
    </row>
    <row r="9" spans="1:26" ht="50.25" customHeight="1">
      <c r="A9" s="33" t="s">
        <v>18</v>
      </c>
      <c r="B9" s="36" t="s">
        <v>42</v>
      </c>
      <c r="C9" s="42" t="s">
        <v>43</v>
      </c>
      <c r="D9" s="43" t="s">
        <v>44</v>
      </c>
      <c r="E9" s="39">
        <v>699000</v>
      </c>
      <c r="F9" s="39">
        <v>132810</v>
      </c>
      <c r="G9" s="40">
        <f>(E9+F9)/3900</f>
        <v>213.28461538461539</v>
      </c>
      <c r="H9" s="94">
        <f t="shared" ref="H9:H10" si="0">G9*3900</f>
        <v>831810</v>
      </c>
      <c r="I9" s="38" t="s">
        <v>16</v>
      </c>
      <c r="J9" s="44" t="s">
        <v>45</v>
      </c>
    </row>
    <row r="10" spans="1:26" ht="50.25" customHeight="1">
      <c r="A10" s="33" t="s">
        <v>23</v>
      </c>
      <c r="B10" s="36" t="s">
        <v>42</v>
      </c>
      <c r="C10" s="45" t="s">
        <v>46</v>
      </c>
      <c r="D10" s="46" t="s">
        <v>47</v>
      </c>
      <c r="E10" s="47">
        <v>1199900</v>
      </c>
      <c r="F10" s="39">
        <v>227981</v>
      </c>
      <c r="G10" s="40">
        <f>(E10+F10)/3900</f>
        <v>366.12333333333333</v>
      </c>
      <c r="H10" s="94">
        <f t="shared" si="0"/>
        <v>1427881</v>
      </c>
      <c r="I10" s="38" t="s">
        <v>16</v>
      </c>
      <c r="J10" s="44" t="s">
        <v>48</v>
      </c>
    </row>
    <row r="11" spans="1:26" ht="15" hidden="1" customHeight="1">
      <c r="A11" s="10"/>
      <c r="B11" s="11"/>
      <c r="C11" s="11"/>
      <c r="D11" s="11"/>
      <c r="E11" s="11"/>
      <c r="F11" s="11"/>
      <c r="G11" s="11"/>
      <c r="H11" s="11"/>
      <c r="I11" s="11"/>
      <c r="J11" s="1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46E337D8-923B-46BB-8785-251C5BB52B26}"/>
    <hyperlink ref="C9" r:id="rId2" xr:uid="{A3A78349-1527-4A13-B63A-4D8F9F91BDAC}"/>
    <hyperlink ref="C10" r:id="rId3" xr:uid="{81FB0D03-AC65-49F4-9990-54515B8A2D67}"/>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I9" sqref="I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13"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17" t="s">
        <v>12</v>
      </c>
      <c r="B8" s="48" t="s">
        <v>13</v>
      </c>
      <c r="C8" s="49" t="s">
        <v>51</v>
      </c>
      <c r="D8" s="50" t="s">
        <v>52</v>
      </c>
      <c r="E8" s="51">
        <v>159900</v>
      </c>
      <c r="F8" s="52">
        <v>30381</v>
      </c>
      <c r="G8" s="53">
        <f>(E8+F8)/3900</f>
        <v>48.79</v>
      </c>
      <c r="H8" s="95">
        <f>G8*3900</f>
        <v>190281</v>
      </c>
      <c r="I8" s="48" t="s">
        <v>53</v>
      </c>
      <c r="J8" s="54" t="s">
        <v>54</v>
      </c>
    </row>
    <row r="9" spans="1:26" ht="77.25" customHeight="1">
      <c r="A9" s="17" t="s">
        <v>18</v>
      </c>
      <c r="B9" s="55" t="s">
        <v>55</v>
      </c>
      <c r="C9" s="49" t="s">
        <v>56</v>
      </c>
      <c r="D9" s="56" t="s">
        <v>57</v>
      </c>
      <c r="E9" s="51">
        <v>549900</v>
      </c>
      <c r="F9" s="48">
        <v>104481</v>
      </c>
      <c r="G9" s="53">
        <f t="shared" ref="G9:G10" si="0">(E9+F9)/3900</f>
        <v>167.79</v>
      </c>
      <c r="H9" s="95">
        <f t="shared" ref="H9:H10" si="1">G9*3900</f>
        <v>654381</v>
      </c>
      <c r="I9" s="48" t="s">
        <v>53</v>
      </c>
      <c r="J9" s="114" t="s">
        <v>58</v>
      </c>
    </row>
    <row r="10" spans="1:26" ht="50.25" customHeight="1">
      <c r="A10" s="17" t="s">
        <v>23</v>
      </c>
      <c r="B10" s="112" t="s">
        <v>59</v>
      </c>
      <c r="C10" s="48" t="s">
        <v>60</v>
      </c>
      <c r="D10" s="112" t="s">
        <v>57</v>
      </c>
      <c r="E10" s="113">
        <v>304900</v>
      </c>
      <c r="F10" s="112">
        <v>57931</v>
      </c>
      <c r="G10" s="53">
        <f t="shared" si="0"/>
        <v>93.033589743589744</v>
      </c>
      <c r="H10" s="95">
        <f t="shared" si="1"/>
        <v>362831</v>
      </c>
      <c r="I10" s="48" t="s">
        <v>53</v>
      </c>
      <c r="J10" s="114"/>
    </row>
    <row r="11" spans="1:26" ht="15" hidden="1" customHeight="1">
      <c r="A11" s="18"/>
      <c r="B11" s="112"/>
      <c r="C11" s="48">
        <v>3008921440</v>
      </c>
      <c r="D11" s="112"/>
      <c r="E11" s="113"/>
      <c r="F11" s="112"/>
      <c r="G11" s="57"/>
      <c r="H11" s="57"/>
      <c r="I11" s="57"/>
      <c r="J11" s="57"/>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D2:H2"/>
    <mergeCell ref="A5:J5"/>
    <mergeCell ref="A13:J13"/>
    <mergeCell ref="A15:J15"/>
    <mergeCell ref="B10:B11"/>
    <mergeCell ref="D10:D11"/>
    <mergeCell ref="E10:E11"/>
    <mergeCell ref="F10:F11"/>
    <mergeCell ref="J9:J10"/>
  </mergeCells>
  <hyperlinks>
    <hyperlink ref="C8" r:id="rId1" location="searchVariation=MCO19614825&amp;position=2&amp;search_layout=stack&amp;type=product&amp;tracking_id=aa8e5d63-5d99-467d-8939-e0e1b492ed9b" display="https://www.mercadolibre.com.co/disco-solido-ssd-interno-crucial-ct500bx500ssd1-500gb-negro/p/MCO19614825?pdp_filters=category:MCO1672 - searchVariation=MCO19614825&amp;position=2&amp;search_layout=stack&amp;type=product&amp;tracking_id=aa8e5d63-5d99-467d-8939-e0e1b492ed9b" xr:uid="{B77C5CC6-26B3-4A73-8BA8-725EF8309168}"/>
    <hyperlink ref="C9" r:id="rId2" xr:uid="{DA793C13-1FBC-44D6-A78F-7A3496FC7357}"/>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7" workbookViewId="0">
      <selection activeCell="H8" sqref="H8:H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8" t="s">
        <v>61</v>
      </c>
      <c r="C8" s="49" t="s">
        <v>62</v>
      </c>
      <c r="D8" s="50" t="s">
        <v>63</v>
      </c>
      <c r="E8" s="59">
        <v>102000</v>
      </c>
      <c r="F8" s="60">
        <f>E8*1.19</f>
        <v>121380</v>
      </c>
      <c r="G8" s="58">
        <f>(E8+F8)/3900</f>
        <v>57.276923076923076</v>
      </c>
      <c r="H8" s="95">
        <f>G8*3900</f>
        <v>223380</v>
      </c>
      <c r="I8" s="48" t="s">
        <v>53</v>
      </c>
      <c r="J8" s="50" t="s">
        <v>64</v>
      </c>
    </row>
    <row r="9" spans="1:26" ht="50.25" customHeight="1">
      <c r="A9" s="30" t="s">
        <v>18</v>
      </c>
      <c r="B9" s="48" t="s">
        <v>65</v>
      </c>
      <c r="C9" s="49" t="s">
        <v>66</v>
      </c>
      <c r="D9" s="61" t="s">
        <v>67</v>
      </c>
      <c r="E9" s="59">
        <v>399900</v>
      </c>
      <c r="F9" s="60">
        <f t="shared" ref="F9:F10" si="0">E9*1.19</f>
        <v>475881</v>
      </c>
      <c r="G9" s="58">
        <f t="shared" ref="G9:G10" si="1">(E9+F9)/3900</f>
        <v>224.55923076923077</v>
      </c>
      <c r="H9" s="95">
        <f t="shared" ref="H9:H10" si="2">G9*3900</f>
        <v>875781</v>
      </c>
      <c r="I9" s="48" t="s">
        <v>53</v>
      </c>
      <c r="J9" s="50" t="s">
        <v>64</v>
      </c>
    </row>
    <row r="10" spans="1:26" ht="50.25" customHeight="1">
      <c r="A10" s="30" t="s">
        <v>23</v>
      </c>
      <c r="B10" s="48" t="s">
        <v>68</v>
      </c>
      <c r="C10" s="48" t="s">
        <v>69</v>
      </c>
      <c r="D10" s="48" t="s">
        <v>67</v>
      </c>
      <c r="E10" s="60">
        <v>220000</v>
      </c>
      <c r="F10" s="60">
        <f t="shared" si="0"/>
        <v>261800</v>
      </c>
      <c r="G10" s="58">
        <f t="shared" si="1"/>
        <v>123.53846153846153</v>
      </c>
      <c r="H10" s="95">
        <f t="shared" si="2"/>
        <v>481800</v>
      </c>
      <c r="I10" s="48" t="s">
        <v>53</v>
      </c>
      <c r="J10" s="48"/>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searchVariation=MCO19035706&amp;position=7&amp;search_layout=stack&amp;type=product&amp;tracking_id=d2347602-d832-46e2-b62a-c4c325617137" display="searchVariation=MCO19035706&amp;position=7&amp;search_layout=stack&amp;type=product&amp;tracking_id=d2347602-d832-46e2-b62a-c4c325617137" xr:uid="{44DDFF22-A3B9-421C-A2F1-210FFC9AD665}"/>
    <hyperlink ref="C9" r:id="rId2" xr:uid="{CAFDA41F-B727-423A-B459-563588B654A1}"/>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4" workbookViewId="0">
      <selection activeCell="I10" sqref="I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64"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8" t="s">
        <v>70</v>
      </c>
      <c r="C8" s="49" t="s">
        <v>71</v>
      </c>
      <c r="D8" s="48" t="s">
        <v>72</v>
      </c>
      <c r="E8" s="62">
        <v>8400000</v>
      </c>
      <c r="F8" s="62">
        <f>E8*1.19</f>
        <v>9996000</v>
      </c>
      <c r="G8" s="53">
        <f>(F8+E8)/3900</f>
        <v>4716.9230769230771</v>
      </c>
      <c r="H8" s="95">
        <f>G8*3900</f>
        <v>18396000</v>
      </c>
      <c r="I8" s="48" t="s">
        <v>53</v>
      </c>
      <c r="J8" s="65" t="s">
        <v>73</v>
      </c>
    </row>
    <row r="9" spans="1:26" ht="50.25" customHeight="1">
      <c r="A9" s="30" t="s">
        <v>18</v>
      </c>
      <c r="B9" s="55" t="s">
        <v>13</v>
      </c>
      <c r="C9" s="49" t="s">
        <v>74</v>
      </c>
      <c r="D9" s="50" t="s">
        <v>75</v>
      </c>
      <c r="E9" s="63">
        <v>1199999</v>
      </c>
      <c r="F9" s="62">
        <f>E9*1.19</f>
        <v>1427998.8099999998</v>
      </c>
      <c r="G9" s="53">
        <f>(F9+E9)/3900</f>
        <v>673.84559230769219</v>
      </c>
      <c r="H9" s="95">
        <f t="shared" ref="H9:H10" si="0">G9*3900</f>
        <v>2627997.8099999996</v>
      </c>
      <c r="I9" s="48" t="s">
        <v>53</v>
      </c>
      <c r="J9" s="50" t="s">
        <v>76</v>
      </c>
    </row>
    <row r="10" spans="1:26" ht="50.25" customHeight="1">
      <c r="A10" s="30" t="s">
        <v>23</v>
      </c>
      <c r="B10" s="48" t="s">
        <v>13</v>
      </c>
      <c r="C10" s="49" t="s">
        <v>74</v>
      </c>
      <c r="D10" s="50" t="s">
        <v>77</v>
      </c>
      <c r="E10" s="63">
        <v>1199999</v>
      </c>
      <c r="F10" s="62">
        <f t="shared" ref="F10" si="1">E10*1.19</f>
        <v>1427998.8099999998</v>
      </c>
      <c r="G10" s="53">
        <f t="shared" ref="G10" si="2">(F10+E10)/3900</f>
        <v>673.84559230769219</v>
      </c>
      <c r="H10" s="95">
        <f t="shared" si="0"/>
        <v>2627997.8099999996</v>
      </c>
      <c r="I10" s="48" t="s">
        <v>53</v>
      </c>
      <c r="J10" s="48"/>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sition=8&amp;search_layout=stack&amp;type=item&amp;tracking_id=6ce23d24-4588-4653-bb99-db7e1509e5aa" display="https://articulo.mercadolibre.com.co/MCO-1294185577-poweredge-t150-tower-server-intel-xeon-e-2336g16gb2tb-_JM - position=8&amp;search_layout=stack&amp;type=item&amp;tracking_id=6ce23d24-4588-4653-bb99-db7e1509e5aa" xr:uid="{7206AE03-F5B3-4ECD-A888-89E458E43E3C}"/>
    <hyperlink ref="C9" r:id="rId2" location="position=4&amp;search_layout=stack&amp;type=item&amp;tracking_id=aa17d476-2270-48e4-afc3-371dfada513d" display="https://articulo.mercadolibre.com.co/MCO-1318522727-servidor-hp-proliant-ml310e-gen8-v2-r16gb-ssd480-xeon-31ghz-_JM - position=4&amp;search_layout=stack&amp;type=item&amp;tracking_id=aa17d476-2270-48e4-afc3-371dfada513d" xr:uid="{C29807A1-9882-4265-AFFD-C8C07BB1D48E}"/>
    <hyperlink ref="C10" r:id="rId3" location="position=4&amp;search_layout=stack&amp;type=item&amp;tracking_id=aa17d476-2270-48e4-afc3-371dfada513d" display="https://articulo.mercadolibre.com.co/MCO-1318522727-servidor-hp-proliant-ml310e-gen8-v2-r16gb-ssd480-xeon-31ghz-_JM - position=4&amp;search_layout=stack&amp;type=item&amp;tracking_id=aa17d476-2270-48e4-afc3-371dfada513d" xr:uid="{8DD91B22-FEBB-4BF4-AFE6-6F58C5743119}"/>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I10" sqref="I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8" t="s">
        <v>78</v>
      </c>
      <c r="C8" s="49" t="s">
        <v>79</v>
      </c>
      <c r="D8" s="55" t="s">
        <v>80</v>
      </c>
      <c r="E8" s="60">
        <v>399000</v>
      </c>
      <c r="F8" s="60">
        <f>E8*1.19</f>
        <v>474810</v>
      </c>
      <c r="G8" s="66">
        <f>(F8+E8)/3900</f>
        <v>224.05384615384617</v>
      </c>
      <c r="H8" s="95">
        <f>G8*3900</f>
        <v>873810</v>
      </c>
      <c r="I8" s="48" t="s">
        <v>16</v>
      </c>
      <c r="J8" s="50" t="s">
        <v>81</v>
      </c>
    </row>
    <row r="9" spans="1:26" ht="50.25" customHeight="1">
      <c r="A9" s="30" t="s">
        <v>18</v>
      </c>
      <c r="B9" s="55" t="s">
        <v>82</v>
      </c>
      <c r="C9" s="49" t="s">
        <v>83</v>
      </c>
      <c r="D9" s="50" t="s">
        <v>84</v>
      </c>
      <c r="E9" s="59">
        <v>180039</v>
      </c>
      <c r="F9" s="60">
        <f t="shared" ref="F9:F10" si="0">E9*1.19</f>
        <v>214246.41</v>
      </c>
      <c r="G9" s="66">
        <f t="shared" ref="G9:G10" si="1">(F9+E9)/3900</f>
        <v>101.09882307692308</v>
      </c>
      <c r="H9" s="95">
        <f t="shared" ref="H9:H10" si="2">G9*3900</f>
        <v>394285.41000000003</v>
      </c>
      <c r="I9" s="48" t="s">
        <v>16</v>
      </c>
      <c r="J9" s="50" t="s">
        <v>85</v>
      </c>
    </row>
    <row r="10" spans="1:26" ht="50.25" customHeight="1">
      <c r="A10" s="30" t="s">
        <v>23</v>
      </c>
      <c r="B10" s="48" t="s">
        <v>86</v>
      </c>
      <c r="C10" s="49" t="s">
        <v>87</v>
      </c>
      <c r="D10" s="67" t="s">
        <v>88</v>
      </c>
      <c r="E10" s="59">
        <v>99000</v>
      </c>
      <c r="F10" s="60">
        <f t="shared" si="0"/>
        <v>117810</v>
      </c>
      <c r="G10" s="66">
        <f t="shared" si="1"/>
        <v>55.592307692307692</v>
      </c>
      <c r="H10" s="95">
        <f t="shared" si="2"/>
        <v>216810</v>
      </c>
      <c r="I10" s="48" t="s">
        <v>16</v>
      </c>
      <c r="J10" s="68" t="s">
        <v>89</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925E4C2D-BC5E-406D-A8FA-29F3ED65A994}"/>
    <hyperlink ref="C9" r:id="rId2" xr:uid="{46B35F93-382A-42AF-93F1-4183F69B84B6}"/>
    <hyperlink ref="C10" r:id="rId3" display="https://tecnostock.com.co/products/crucial-laptop-ddr4-3200-mhz-sodimm-memory-module?variant=46808587370781&amp;currency=COP&amp;utm_medium=product_sync&amp;utm_source=google&amp;utm_content=sag_organic&amp;utm_campaign=sag_organic&amp;srsltid=AfmBOoqET5a1tgCjO-30b6IPBqHaFs9VneMJjDgoKfxpm8XhSgHhZF9ABDc" xr:uid="{822A23A1-7567-45F3-A8CB-8F72CF7B3A24}"/>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7" workbookViewId="0">
      <selection activeCell="I8" sqref="I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15">
        <v>0</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8" t="s">
        <v>55</v>
      </c>
      <c r="C8" s="49" t="s">
        <v>90</v>
      </c>
      <c r="D8" s="56" t="s">
        <v>91</v>
      </c>
      <c r="E8" s="74">
        <v>84888</v>
      </c>
      <c r="F8" s="60">
        <f>E8*1.19</f>
        <v>101016.72</v>
      </c>
      <c r="G8" s="53">
        <f>(E8+F8)/3900</f>
        <v>47.667876923076925</v>
      </c>
      <c r="H8" s="95">
        <f>G8*3900</f>
        <v>185904.72</v>
      </c>
      <c r="I8" s="48" t="s">
        <v>16</v>
      </c>
      <c r="J8" s="70" t="s">
        <v>92</v>
      </c>
    </row>
    <row r="9" spans="1:26" ht="50.25" customHeight="1">
      <c r="A9" s="30" t="s">
        <v>18</v>
      </c>
      <c r="B9" s="55" t="s">
        <v>93</v>
      </c>
      <c r="C9" s="49" t="s">
        <v>94</v>
      </c>
      <c r="D9" s="61" t="s">
        <v>95</v>
      </c>
      <c r="E9" s="71">
        <v>59900</v>
      </c>
      <c r="F9" s="60">
        <f>E9*1.19</f>
        <v>71281</v>
      </c>
      <c r="G9" s="53">
        <f t="shared" ref="G9:G10" si="0">(E9+F9)/3900</f>
        <v>33.636153846153846</v>
      </c>
      <c r="H9" s="95">
        <f t="shared" ref="H9:H10" si="1">G9*3900</f>
        <v>131181</v>
      </c>
      <c r="I9" s="48" t="s">
        <v>16</v>
      </c>
      <c r="J9" s="72" t="s">
        <v>96</v>
      </c>
    </row>
    <row r="10" spans="1:26" ht="50.25" customHeight="1">
      <c r="A10" s="30" t="s">
        <v>23</v>
      </c>
      <c r="B10" s="112" t="s">
        <v>97</v>
      </c>
      <c r="C10" s="48" t="s">
        <v>98</v>
      </c>
      <c r="D10" s="112" t="s">
        <v>95</v>
      </c>
      <c r="E10" s="116">
        <v>549900</v>
      </c>
      <c r="F10" s="116">
        <f>E10*1.19</f>
        <v>654381</v>
      </c>
      <c r="G10" s="53">
        <f t="shared" si="0"/>
        <v>308.79000000000002</v>
      </c>
      <c r="H10" s="95">
        <f t="shared" si="1"/>
        <v>1204281</v>
      </c>
      <c r="I10" s="48" t="s">
        <v>16</v>
      </c>
      <c r="J10" s="73"/>
    </row>
    <row r="11" spans="1:26" ht="15" hidden="1" customHeight="1">
      <c r="A11" s="69"/>
      <c r="B11" s="112"/>
      <c r="C11" s="48" t="s">
        <v>99</v>
      </c>
      <c r="D11" s="112"/>
      <c r="E11" s="116"/>
      <c r="F11" s="116"/>
      <c r="G11" s="57"/>
      <c r="H11" s="57"/>
      <c r="I11" s="57"/>
      <c r="J11" s="57"/>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hyperlinks>
    <hyperlink ref="C8" r:id="rId1" xr:uid="{4C6E7693-B4AE-4809-A97F-924717090566}"/>
    <hyperlink ref="C9" r:id="rId2" xr:uid="{075CA34C-823C-437C-9E9E-677CA13E85A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7"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100</v>
      </c>
      <c r="H7" s="14" t="s">
        <v>9</v>
      </c>
      <c r="I7" s="14" t="s">
        <v>10</v>
      </c>
      <c r="J7" s="14" t="s">
        <v>11</v>
      </c>
      <c r="K7" s="6"/>
      <c r="L7" s="6"/>
      <c r="M7" s="6"/>
      <c r="N7" s="6"/>
      <c r="O7" s="6"/>
      <c r="P7" s="6"/>
      <c r="Q7" s="6"/>
      <c r="R7" s="6"/>
      <c r="S7" s="6"/>
      <c r="T7" s="6"/>
      <c r="U7" s="6"/>
      <c r="V7" s="6"/>
      <c r="W7" s="6"/>
      <c r="X7" s="6"/>
      <c r="Y7" s="6"/>
      <c r="Z7" s="6"/>
    </row>
    <row r="8" spans="1:26" ht="50.25" customHeight="1">
      <c r="A8" s="30" t="s">
        <v>12</v>
      </c>
      <c r="B8" s="48" t="s">
        <v>13</v>
      </c>
      <c r="C8" s="49" t="s">
        <v>101</v>
      </c>
      <c r="D8" s="75" t="s">
        <v>102</v>
      </c>
      <c r="E8" s="59">
        <v>29640</v>
      </c>
      <c r="F8" s="60">
        <f>E8*1.19</f>
        <v>35271.599999999999</v>
      </c>
      <c r="G8" s="53">
        <f>(E8+F8)/3900</f>
        <v>16.643999999999998</v>
      </c>
      <c r="H8" s="96">
        <f>G8*3900</f>
        <v>64911.599999999991</v>
      </c>
      <c r="I8" s="100" t="s">
        <v>53</v>
      </c>
      <c r="J8" s="97" t="s">
        <v>103</v>
      </c>
    </row>
    <row r="9" spans="1:26" ht="50.25" customHeight="1">
      <c r="A9" s="30" t="s">
        <v>18</v>
      </c>
      <c r="B9" s="55" t="s">
        <v>104</v>
      </c>
      <c r="C9" s="49" t="s">
        <v>105</v>
      </c>
      <c r="D9" s="48" t="s">
        <v>106</v>
      </c>
      <c r="E9" s="60">
        <v>27000</v>
      </c>
      <c r="F9" s="60">
        <f t="shared" ref="F9:F10" si="0">E9*1.19</f>
        <v>32130</v>
      </c>
      <c r="G9" s="53">
        <f t="shared" ref="G9:G10" si="1">(E9+F9)/3900</f>
        <v>15.161538461538461</v>
      </c>
      <c r="H9" s="96">
        <f>G9*3900</f>
        <v>59130</v>
      </c>
      <c r="I9" s="100" t="s">
        <v>53</v>
      </c>
      <c r="J9" s="98" t="s">
        <v>107</v>
      </c>
    </row>
    <row r="10" spans="1:26" ht="50.25" customHeight="1">
      <c r="A10" s="30" t="s">
        <v>23</v>
      </c>
      <c r="B10" s="48" t="s">
        <v>108</v>
      </c>
      <c r="C10" s="49" t="s">
        <v>109</v>
      </c>
      <c r="D10" s="48" t="s">
        <v>110</v>
      </c>
      <c r="E10" s="59">
        <v>145900</v>
      </c>
      <c r="F10" s="60">
        <f t="shared" si="0"/>
        <v>173621</v>
      </c>
      <c r="G10" s="53">
        <f t="shared" si="1"/>
        <v>81.928461538461534</v>
      </c>
      <c r="H10" s="96">
        <f>G10*3900</f>
        <v>319521</v>
      </c>
      <c r="I10" s="100" t="s">
        <v>53</v>
      </c>
      <c r="J10" s="99" t="s">
        <v>111</v>
      </c>
    </row>
    <row r="11" spans="1:26" ht="15" hidden="1" customHeight="1">
      <c r="A11" s="10"/>
      <c r="B11" s="31"/>
      <c r="C11" s="31"/>
      <c r="D11" s="31"/>
      <c r="E11" s="31"/>
      <c r="F11" s="31"/>
      <c r="G11" s="31"/>
      <c r="H11" s="31"/>
      <c r="I11" t="s">
        <v>53</v>
      </c>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is_advertising=true&amp;searchVariation=MCO16051104&amp;position=1&amp;search_layout=stack&amp;type=pad&amp;tracking_id=ced31c77-b65c-4671-a8f1-61f3edab0f16&amp;is_advertising=true&amp;ad_domain=VQCATCORE_LST&amp;ad_position=1&amp;ad_click_id=MWZjOWY3ZTgtZjgwNS00MmEzLTk2M2ItNGJiMDNhMjg1NDIy" display="https://www.mercadolibre.com.co/mouse-gamer-vertical-inalambrico-recargable-weibo-wb-881-negro/p/MCO16051104?pdp_filters=item_id:MCO2027339616 - is_advertising=true&amp;searchVariation=MCO16051104&amp;position=1&amp;search_layout=stack&amp;type=pad&amp;tracking_id=ced31c77-b65c-4671-a8f1-61f3edab0f16&amp;is_advertising=true&amp;ad_domain=VQCATCORE_LST&amp;ad_position=1&amp;ad_click_id=MWZjOWY3ZTgtZjgwNS00MmEzLTk2M2ItNGJiMDNhMjg1NDIy" xr:uid="{A95C82ED-83CB-4CCC-9577-A897321B9576}"/>
    <hyperlink ref="C9" r:id="rId2" display="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xr:uid="{11840493-EDBD-4D8C-ADED-0A31289E6E83}"/>
    <hyperlink ref="C10" r:id="rId3" xr:uid="{032951CC-B203-410F-B5F3-78B8208F6448}"/>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4" workbookViewId="0">
      <selection activeCell="G10" sqref="G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8" t="s">
        <v>13</v>
      </c>
      <c r="C8" s="49" t="s">
        <v>112</v>
      </c>
      <c r="D8" s="50" t="s">
        <v>113</v>
      </c>
      <c r="E8" s="59">
        <v>2129890</v>
      </c>
      <c r="F8" s="59">
        <f>E8*1.19</f>
        <v>2534569.1</v>
      </c>
      <c r="G8" s="53">
        <f>(E8+F8)/3900</f>
        <v>1196.0151538461537</v>
      </c>
      <c r="H8" s="95">
        <f>G8*3900</f>
        <v>4664459.0999999996</v>
      </c>
      <c r="I8" s="48" t="s">
        <v>53</v>
      </c>
      <c r="J8" s="65" t="s">
        <v>114</v>
      </c>
    </row>
    <row r="9" spans="1:26" ht="50.25" customHeight="1">
      <c r="A9" s="30" t="s">
        <v>18</v>
      </c>
      <c r="B9" s="55" t="s">
        <v>42</v>
      </c>
      <c r="C9" s="49" t="s">
        <v>115</v>
      </c>
      <c r="D9" s="61" t="s">
        <v>116</v>
      </c>
      <c r="E9" s="60">
        <v>1849000</v>
      </c>
      <c r="F9" s="59">
        <f t="shared" ref="F9:F10" si="0">E9*1.19</f>
        <v>2200310</v>
      </c>
      <c r="G9" s="53">
        <f>(E9+F9)/3900</f>
        <v>1038.2846153846153</v>
      </c>
      <c r="H9" s="95">
        <f>G9*3900</f>
        <v>4049310</v>
      </c>
      <c r="I9" s="48" t="s">
        <v>53</v>
      </c>
      <c r="J9" s="76" t="s">
        <v>117</v>
      </c>
    </row>
    <row r="10" spans="1:26" ht="50.25" customHeight="1">
      <c r="A10" s="30" t="s">
        <v>23</v>
      </c>
      <c r="B10" s="48" t="s">
        <v>65</v>
      </c>
      <c r="C10" s="49" t="s">
        <v>118</v>
      </c>
      <c r="D10" s="61" t="s">
        <v>119</v>
      </c>
      <c r="E10" s="59">
        <v>2249000</v>
      </c>
      <c r="F10" s="59">
        <f t="shared" si="0"/>
        <v>2676310</v>
      </c>
      <c r="G10" s="53">
        <f>(E10+F10)/3900</f>
        <v>1262.9000000000001</v>
      </c>
      <c r="H10" s="95">
        <f>G10*3900</f>
        <v>4925310</v>
      </c>
      <c r="I10" s="48" t="s">
        <v>53</v>
      </c>
      <c r="J10" s="76" t="s">
        <v>120</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display="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xr:uid="{8DCC74BC-AC31-4EB1-94C8-C492E2832C1C}"/>
    <hyperlink ref="C9" r:id="rId2" xr:uid="{8A7E5107-11F8-463A-9964-C0C9C3C7EFAE}"/>
    <hyperlink ref="C10" r:id="rId3" xr:uid="{3CED7930-F456-41EA-A4CC-74BF8ACAB212}"/>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7"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8" t="s">
        <v>42</v>
      </c>
      <c r="C8" s="49" t="s">
        <v>121</v>
      </c>
      <c r="D8" s="61" t="s">
        <v>122</v>
      </c>
      <c r="E8" s="59">
        <v>1099900</v>
      </c>
      <c r="F8" s="59">
        <f>E8*1.19</f>
        <v>1308881</v>
      </c>
      <c r="G8" s="53">
        <f>(F8+E8)/3900</f>
        <v>617.63615384615389</v>
      </c>
      <c r="H8" s="95">
        <f>G8*3900</f>
        <v>2408781</v>
      </c>
      <c r="I8" s="48" t="s">
        <v>16</v>
      </c>
      <c r="J8" s="76" t="s">
        <v>123</v>
      </c>
    </row>
    <row r="9" spans="1:26" ht="50.25" customHeight="1">
      <c r="A9" s="30" t="s">
        <v>18</v>
      </c>
      <c r="B9" s="48" t="s">
        <v>55</v>
      </c>
      <c r="C9" s="77" t="s">
        <v>124</v>
      </c>
      <c r="D9" s="56" t="s">
        <v>125</v>
      </c>
      <c r="E9" s="60">
        <v>1313900</v>
      </c>
      <c r="F9" s="59">
        <f t="shared" ref="F9:F10" si="0">E9*1.19</f>
        <v>1563541</v>
      </c>
      <c r="G9" s="53">
        <f t="shared" ref="G9:G10" si="1">(F9+E9)/3900</f>
        <v>737.80538461538458</v>
      </c>
      <c r="H9" s="95">
        <f>G9*3900</f>
        <v>2877441</v>
      </c>
      <c r="I9" s="48" t="s">
        <v>16</v>
      </c>
      <c r="J9" s="56" t="s">
        <v>126</v>
      </c>
    </row>
    <row r="10" spans="1:26" ht="50.25" customHeight="1">
      <c r="A10" s="30" t="s">
        <v>23</v>
      </c>
      <c r="B10" s="48" t="s">
        <v>13</v>
      </c>
      <c r="C10" s="49" t="s">
        <v>127</v>
      </c>
      <c r="D10" s="50" t="s">
        <v>128</v>
      </c>
      <c r="E10" s="59">
        <v>1507783</v>
      </c>
      <c r="F10" s="59">
        <f t="shared" si="0"/>
        <v>1794261.77</v>
      </c>
      <c r="G10" s="53">
        <f t="shared" si="1"/>
        <v>846.67814615384611</v>
      </c>
      <c r="H10" s="95">
        <f>G10*3900</f>
        <v>3302044.77</v>
      </c>
      <c r="I10" s="48" t="s">
        <v>16</v>
      </c>
      <c r="J10" s="56" t="s">
        <v>129</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356A6072-DC24-4DB4-9EE5-6874C43176E6}"/>
    <hyperlink ref="C9" r:id="rId2" xr:uid="{8812A057-4E2F-4EFC-B3F8-B4BDAC11AA86}"/>
    <hyperlink ref="C10" r:id="rId3" location="is_advertising=true&amp;searchVariation=MCO24122328&amp;position=10&amp;search_layout=stack&amp;type=pad&amp;tracking_id=7415b802-551f-4627-8fe6-d6c65a3e40c2&amp;is_advertising=true&amp;ad_domain=VQCATCORE_LST&amp;ad_position=10&amp;ad_click_id=ODk2ZGUwZDQtYTZlMS00YjZkLWJkNmUtYjc0N2NkYWY4OTdl" display="https://www.mercadolibre.com.co/monitor-gamer-lg-ultragear-27gr75q-lcd-27-negro-100v240v/p/MCO24122328?pdp_filters=item_id:MCO1413629089 - is_advertising=true&amp;searchVariation=MCO24122328&amp;position=10&amp;search_layout=stack&amp;type=pad&amp;tracking_id=7415b802-551f-4627-8fe6-d6c65a3e40c2&amp;is_advertising=true&amp;ad_domain=VQCATCORE_LST&amp;ad_position=10&amp;ad_click_id=ODk2ZGUwZDQtYTZlMS00YjZkLWJkNmUtYjc0N2NkYWY4OTdl" xr:uid="{062044BA-910F-444F-8D77-C3BE52A94888}"/>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7" workbookViewId="0">
      <selection activeCell="A15" sqref="A15:J17"/>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t="s">
        <v>130</v>
      </c>
    </row>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78" t="s">
        <v>13</v>
      </c>
      <c r="C8" s="79" t="s">
        <v>131</v>
      </c>
      <c r="D8" s="80" t="s">
        <v>132</v>
      </c>
      <c r="E8" s="71">
        <v>56919</v>
      </c>
      <c r="F8" s="81">
        <f>E8*1.19</f>
        <v>67733.61</v>
      </c>
      <c r="G8" s="85">
        <f>(E8+F8)/3900</f>
        <v>31.962207692307693</v>
      </c>
      <c r="H8" s="101">
        <f>G8*3900</f>
        <v>124652.61</v>
      </c>
      <c r="I8" s="78" t="s">
        <v>16</v>
      </c>
      <c r="J8" s="80" t="s">
        <v>54</v>
      </c>
    </row>
    <row r="9" spans="1:26" ht="50.25" customHeight="1">
      <c r="A9" s="30" t="s">
        <v>18</v>
      </c>
      <c r="B9" s="78" t="s">
        <v>133</v>
      </c>
      <c r="C9" s="79" t="s">
        <v>134</v>
      </c>
      <c r="D9" s="80" t="s">
        <v>135</v>
      </c>
      <c r="E9" s="71">
        <v>236000</v>
      </c>
      <c r="F9" s="81">
        <f t="shared" ref="F9:F10" si="0">E9*1.19</f>
        <v>280840</v>
      </c>
      <c r="G9" s="85">
        <f t="shared" ref="G9:G10" si="1">(E9+F9)/3900</f>
        <v>132.52307692307693</v>
      </c>
      <c r="H9" s="101">
        <f>G9*3900</f>
        <v>516840</v>
      </c>
      <c r="I9" s="78" t="s">
        <v>16</v>
      </c>
      <c r="J9" s="80" t="s">
        <v>136</v>
      </c>
    </row>
    <row r="10" spans="1:26" ht="50.25" customHeight="1">
      <c r="A10" s="30" t="s">
        <v>23</v>
      </c>
      <c r="B10" s="78" t="s">
        <v>137</v>
      </c>
      <c r="C10" s="79" t="s">
        <v>138</v>
      </c>
      <c r="D10" s="78" t="s">
        <v>139</v>
      </c>
      <c r="E10" s="71">
        <v>199000</v>
      </c>
      <c r="F10" s="81">
        <f t="shared" si="0"/>
        <v>236810</v>
      </c>
      <c r="G10" s="85">
        <f t="shared" si="1"/>
        <v>111.74615384615385</v>
      </c>
      <c r="H10" s="101">
        <f>G10*3900</f>
        <v>435810</v>
      </c>
      <c r="I10" s="78" t="s">
        <v>16</v>
      </c>
      <c r="J10" s="80" t="s">
        <v>140</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searchVariation=MCO21709406&amp;position=4&amp;search_layout=stack&amp;type=product&amp;tracking_id=645ef13c-b162-4ab0-bc8e-6ab434cbaf42" display="https://www.mercadolibre.com.co/disco-duro-interno-western-digital-wd5000lpzx-25in-500gb-hdd-sata-iii-plata/p/MCO21709406?pdp_filters=category%3AMCO1672#searchVariation=MCO21709406&amp;position=4&amp;search_layout=stack&amp;type=product&amp;tracking_id=645ef13c-b162-4ab0-bc8e-6ab434cbaf42" xr:uid="{77BA3A50-8445-40AA-A5F5-1A378744388C}"/>
    <hyperlink ref="C9" r:id="rId2" xr:uid="{1F46A42B-8940-40B9-8401-67BB71309EA4}"/>
    <hyperlink ref="C10" r:id="rId3" xr:uid="{FE62D79F-9E54-4285-A2E2-05970A7E9756}"/>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7" workbookViewId="0">
      <selection activeCell="I8" sqref="I8"/>
    </sheetView>
  </sheetViews>
  <sheetFormatPr baseColWidth="10" defaultColWidth="12.5703125" defaultRowHeight="15" customHeight="1"/>
  <cols>
    <col min="1" max="3" width="19.140625" customWidth="1"/>
    <col min="4" max="4" width="21.85546875" customWidth="1"/>
    <col min="5" max="5" width="17" customWidth="1"/>
    <col min="6" max="6" width="21.85546875"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78" t="s">
        <v>141</v>
      </c>
      <c r="C8" s="79" t="s">
        <v>142</v>
      </c>
      <c r="D8" s="80" t="s">
        <v>143</v>
      </c>
      <c r="E8" s="71">
        <v>893296</v>
      </c>
      <c r="F8" s="81">
        <f>E8*1.19</f>
        <v>1063022.24</v>
      </c>
      <c r="G8" s="84">
        <f>(F8+E8)/3900</f>
        <v>501.62006153846153</v>
      </c>
      <c r="H8" s="102">
        <f>G8*3900</f>
        <v>1956318.24</v>
      </c>
      <c r="I8" s="78" t="s">
        <v>53</v>
      </c>
      <c r="J8" s="80" t="s">
        <v>144</v>
      </c>
    </row>
    <row r="9" spans="1:26" ht="50.25" customHeight="1">
      <c r="A9" s="30" t="s">
        <v>18</v>
      </c>
      <c r="B9" s="78" t="s">
        <v>13</v>
      </c>
      <c r="C9" s="79" t="s">
        <v>145</v>
      </c>
      <c r="D9" s="80" t="s">
        <v>146</v>
      </c>
      <c r="E9" s="71">
        <v>3850000</v>
      </c>
      <c r="F9" s="81">
        <f t="shared" ref="F9:F10" si="0">E9*1.19</f>
        <v>4581500</v>
      </c>
      <c r="G9" s="84">
        <f t="shared" ref="G9:G10" si="1">(F9+E9)/3900</f>
        <v>2161.9230769230771</v>
      </c>
      <c r="H9" s="102">
        <f>G9*3900</f>
        <v>8431500</v>
      </c>
      <c r="I9" s="78" t="s">
        <v>53</v>
      </c>
      <c r="J9" s="80" t="s">
        <v>147</v>
      </c>
    </row>
    <row r="10" spans="1:26" ht="50.25" customHeight="1">
      <c r="A10" s="30" t="s">
        <v>23</v>
      </c>
      <c r="B10" s="78" t="s">
        <v>13</v>
      </c>
      <c r="C10" s="79" t="s">
        <v>148</v>
      </c>
      <c r="D10" s="80" t="s">
        <v>149</v>
      </c>
      <c r="E10" s="71">
        <v>2399999</v>
      </c>
      <c r="F10" s="81">
        <f t="shared" si="0"/>
        <v>2855998.81</v>
      </c>
      <c r="G10" s="84">
        <f t="shared" si="1"/>
        <v>1347.6917461538462</v>
      </c>
      <c r="H10" s="102">
        <f>G10*3900</f>
        <v>5255997.8100000005</v>
      </c>
      <c r="I10" s="78" t="s">
        <v>53</v>
      </c>
      <c r="J10" s="80" t="s">
        <v>150</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display="https://www.amazon.com/ZimaBoard-servidor-Computadora-Almacenamiento-multimedia/dp/B0BKL7YPBQ/ref=sr_1_1_sspa?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 xr:uid="{7BC8C922-7C2D-4295-9314-F34034758768}"/>
    <hyperlink ref="C9" r:id="rId2" location="position=1&amp;search_layout=stack&amp;type=item&amp;tracking_id=0fd9fb34-0351-4dd5-bffd-e6bf27036d09" display="https://articulo.mercadolibre.com.co/MCO-2256411732-servidor-dell-power-edge-t40-intel-xeon-35-ghz-8g-1tb-_JM - position=1&amp;search_layout=stack&amp;type=item&amp;tracking_id=0fd9fb34-0351-4dd5-bffd-e6bf27036d09" xr:uid="{C25ECE57-5BE7-45B7-9BF2-E6090D8DBD5A}"/>
    <hyperlink ref="C10" r:id="rId3" location="reco_item_pos=0&amp;reco_backend=pads-retrieval-model-odin_marketplace&amp;reco_backend_type=&amp;reco_client=vip-pads-up&amp;reco_id=4ba4c990-688a-4e14-ba09-aa8d43e7531a&amp;is_advertising=true&amp;ad_domain=VIPDESKTOP_UP&amp;ad_position=1&amp;ad_click_id=ZGYxNDliOTItZTMyNC00Y2ViLThhN2ItYWFkYmMzNDY0NTli" display="https://articulo.mercadolibre.com.co/MCO-1317854809-cpu-dell-optiplex-5090-core-i5-10ma-gen-8gb-512gb-open-box-_JM?variation= - reco_item_pos=0&amp;reco_backend=pads-retrieval-model-odin_marketplace&amp;reco_backend_type=&amp;reco_client=vip-pads-up&amp;reco_id=4ba4c990-688a-4e14-ba09-aa8d43e7531a&amp;is_advertising=true&amp;ad_domain=VIPDESKTOP_UP&amp;ad_position=1&amp;ad_click_id=ZGYxNDliOTItZTMyNC00Y2ViLThhN2ItYWFkYmMzNDY0NTli" xr:uid="{FD7E8564-53C4-498C-AB9D-F923CD86A003}"/>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4" workbookViewId="0">
      <selection activeCell="I10" sqref="I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78" t="s">
        <v>13</v>
      </c>
      <c r="C8" s="79" t="s">
        <v>151</v>
      </c>
      <c r="D8" s="80" t="s">
        <v>152</v>
      </c>
      <c r="E8" s="71">
        <v>50400</v>
      </c>
      <c r="F8" s="81">
        <f>E8*1.19</f>
        <v>59976</v>
      </c>
      <c r="G8" s="81">
        <f>(F8+E8)/3900</f>
        <v>28.301538461538463</v>
      </c>
      <c r="H8" s="103">
        <f>G8*3900</f>
        <v>110376</v>
      </c>
      <c r="I8" s="78" t="s">
        <v>16</v>
      </c>
      <c r="J8" s="80" t="s">
        <v>153</v>
      </c>
    </row>
    <row r="9" spans="1:26" ht="50.25" customHeight="1">
      <c r="A9" s="30" t="s">
        <v>18</v>
      </c>
      <c r="B9" s="78" t="s">
        <v>154</v>
      </c>
      <c r="C9" s="79" t="s">
        <v>155</v>
      </c>
      <c r="D9" s="80" t="s">
        <v>156</v>
      </c>
      <c r="E9" s="71">
        <v>812000</v>
      </c>
      <c r="F9" s="81">
        <f t="shared" ref="F9:F10" si="0">E9*1.19</f>
        <v>966280</v>
      </c>
      <c r="G9" s="81">
        <f t="shared" ref="G9:G10" si="1">(F9+E9)/3900</f>
        <v>455.96923076923076</v>
      </c>
      <c r="H9" s="103">
        <f>G9*3900</f>
        <v>1778280</v>
      </c>
      <c r="I9" s="78" t="s">
        <v>16</v>
      </c>
      <c r="J9" s="80" t="s">
        <v>157</v>
      </c>
    </row>
    <row r="10" spans="1:26" ht="50.25" customHeight="1">
      <c r="A10" s="30" t="s">
        <v>23</v>
      </c>
      <c r="B10" s="78" t="s">
        <v>19</v>
      </c>
      <c r="C10" s="79" t="s">
        <v>158</v>
      </c>
      <c r="D10" s="80" t="s">
        <v>159</v>
      </c>
      <c r="E10" s="71">
        <v>812000</v>
      </c>
      <c r="F10" s="81">
        <f t="shared" si="0"/>
        <v>966280</v>
      </c>
      <c r="G10" s="81">
        <f t="shared" si="1"/>
        <v>455.96923076923076</v>
      </c>
      <c r="H10" s="103">
        <f>G10*3900</f>
        <v>1778280</v>
      </c>
      <c r="I10" s="78" t="s">
        <v>16</v>
      </c>
      <c r="J10" s="80" t="s">
        <v>160</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is_advertising=true&amp;searchVariation=MCO14924731&amp;position=1&amp;search_layout=stack&amp;type=pad&amp;tracking_id=9217704f-2715-469b-afb8-bab5f98c6e2a&amp;is_advertising=true&amp;ad_domain=VQCATCORE_LST&amp;ad_position=1&amp;ad_click_id=ZTY3NGNiNWItYTg0My00YzlmLWFkZGYtYjA0YWZkODA0OGFk" display="https://www.mercadolibre.com.co/memoria-ram-samsung-8gb-ddr3-1600mhz-portatil-laptop/p/MCO14924731?pdp_filters=item_id:MCO1541573376 - is_advertising=true&amp;searchVariation=MCO14924731&amp;position=1&amp;search_layout=stack&amp;type=pad&amp;tracking_id=9217704f-2715-469b-afb8-bab5f98c6e2a&amp;is_advertising=true&amp;ad_domain=VQCATCORE_LST&amp;ad_position=1&amp;ad_click_id=ZTY3NGNiNWItYTg0My00YzlmLWFkZGYtYjA0YWZkODA0OGFk" xr:uid="{3829CC20-F0B6-4106-B7AC-F3A37C75ADA6}"/>
    <hyperlink ref="C9" r:id="rId2" xr:uid="{69B04607-3F22-4F49-A621-D4C0EF8A3DE5}"/>
    <hyperlink ref="C10" r:id="rId3" xr:uid="{E049C3C5-FFFF-41FE-AE28-7B6D9D35E3CB}"/>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4"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78" t="s">
        <v>13</v>
      </c>
      <c r="C8" s="79" t="s">
        <v>161</v>
      </c>
      <c r="D8" s="80" t="s">
        <v>162</v>
      </c>
      <c r="E8" s="81">
        <v>190000</v>
      </c>
      <c r="F8" s="81">
        <f>E8*1.19</f>
        <v>226100</v>
      </c>
      <c r="G8" s="82">
        <f>(F8+E8)/3900</f>
        <v>106.69230769230769</v>
      </c>
      <c r="H8" s="102">
        <f>G8*3900</f>
        <v>416100</v>
      </c>
      <c r="I8" s="78" t="s">
        <v>53</v>
      </c>
      <c r="J8" s="80" t="s">
        <v>163</v>
      </c>
    </row>
    <row r="9" spans="1:26" ht="50.25" customHeight="1">
      <c r="A9" s="30" t="s">
        <v>18</v>
      </c>
      <c r="B9" s="78" t="s">
        <v>154</v>
      </c>
      <c r="C9" s="79" t="s">
        <v>164</v>
      </c>
      <c r="D9" s="80" t="s">
        <v>165</v>
      </c>
      <c r="E9" s="71">
        <v>705000</v>
      </c>
      <c r="F9" s="81">
        <f t="shared" ref="F9:F10" si="0">E9*1.19</f>
        <v>838950</v>
      </c>
      <c r="G9" s="82">
        <f t="shared" ref="G9:G10" si="1">(F9+E9)/3900</f>
        <v>395.88461538461536</v>
      </c>
      <c r="H9" s="102">
        <f>G9*3900</f>
        <v>1543950</v>
      </c>
      <c r="I9" s="78" t="s">
        <v>53</v>
      </c>
      <c r="J9" s="80" t="s">
        <v>166</v>
      </c>
    </row>
    <row r="10" spans="1:26" ht="50.25" customHeight="1">
      <c r="A10" s="30" t="s">
        <v>23</v>
      </c>
      <c r="B10" s="78" t="s">
        <v>167</v>
      </c>
      <c r="C10" s="79" t="s">
        <v>168</v>
      </c>
      <c r="D10" s="80" t="s">
        <v>169</v>
      </c>
      <c r="E10" s="81">
        <v>430000</v>
      </c>
      <c r="F10" s="81">
        <f t="shared" si="0"/>
        <v>511700</v>
      </c>
      <c r="G10" s="82">
        <f t="shared" si="1"/>
        <v>241.46153846153845</v>
      </c>
      <c r="H10" s="102">
        <f>G10*3900</f>
        <v>941700</v>
      </c>
      <c r="I10" s="78" t="s">
        <v>53</v>
      </c>
      <c r="J10" s="80" t="s">
        <v>170</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is_advertising=true&amp;searchVariation=MCO36538858&amp;position=2&amp;search_layout=stack&amp;type=pad&amp;tracking_id=9a9fe571-d45a-45cd-bdf6-b4a7012b264a&amp;is_advertising=true&amp;ad_domain=VQCATCORE_LST&amp;ad_position=2&amp;ad_click_id=ODFlYTdmN2EtZGVhMS00ZTkyLWE1NzctZjU0MjNlODc2M2E0" display="https://www.mercadolibre.com.co/tarjeta-de-video-g210-1gb-ddr3-hdmi-pci-e/p/MCO36538858?pdp_filters=item_id:MCO2359750672 - is_advertising=true&amp;searchVariation=MCO36538858&amp;position=2&amp;search_layout=stack&amp;type=pad&amp;tracking_id=9a9fe571-d45a-45cd-bdf6-b4a7012b264a&amp;is_advertising=true&amp;ad_domain=VQCATCORE_LST&amp;ad_position=2&amp;ad_click_id=ODFlYTdmN2EtZGVhMS00ZTkyLWE1NzctZjU0MjNlODc2M2E0" xr:uid="{78440AE1-7598-40A4-BE02-41AE415317A1}"/>
    <hyperlink ref="C9" r:id="rId2" xr:uid="{6F0D6338-DB77-40D9-B5A5-58D4B58648EA}"/>
    <hyperlink ref="C10" r:id="rId3" xr:uid="{43EAA416-BC39-4235-98F6-7EEE01274F18}"/>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5"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08" t="s">
        <v>1</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78" t="s">
        <v>13</v>
      </c>
      <c r="C8" s="79" t="s">
        <v>171</v>
      </c>
      <c r="D8" s="80" t="s">
        <v>172</v>
      </c>
      <c r="E8" s="81">
        <v>1650000</v>
      </c>
      <c r="F8" s="81">
        <f>E8*1.19</f>
        <v>1963500</v>
      </c>
      <c r="G8" s="82">
        <f>(F8+E8)/3900</f>
        <v>926.53846153846155</v>
      </c>
      <c r="H8" s="102">
        <f>G8*3900</f>
        <v>3613500</v>
      </c>
      <c r="I8" s="78" t="s">
        <v>53</v>
      </c>
      <c r="J8" s="83" t="s">
        <v>173</v>
      </c>
    </row>
    <row r="9" spans="1:26" ht="50.25" customHeight="1">
      <c r="A9" s="30" t="s">
        <v>18</v>
      </c>
      <c r="B9" s="78" t="s">
        <v>174</v>
      </c>
      <c r="C9" s="79" t="s">
        <v>175</v>
      </c>
      <c r="D9" s="80" t="s">
        <v>176</v>
      </c>
      <c r="E9" s="81">
        <v>1895000</v>
      </c>
      <c r="F9" s="81">
        <f t="shared" ref="F9:F10" si="0">E9*1.19</f>
        <v>2255050</v>
      </c>
      <c r="G9" s="82">
        <f>(F9+E9)/3900</f>
        <v>1064.1153846153845</v>
      </c>
      <c r="H9" s="102">
        <f>G9*3900</f>
        <v>4150049.9999999995</v>
      </c>
      <c r="I9" s="78" t="s">
        <v>53</v>
      </c>
      <c r="J9" s="83" t="s">
        <v>177</v>
      </c>
    </row>
    <row r="10" spans="1:26" ht="50.25" customHeight="1">
      <c r="A10" s="30" t="s">
        <v>23</v>
      </c>
      <c r="B10" s="78" t="s">
        <v>13</v>
      </c>
      <c r="C10" s="79" t="s">
        <v>178</v>
      </c>
      <c r="D10" s="80" t="s">
        <v>179</v>
      </c>
      <c r="E10" s="81">
        <v>2627000</v>
      </c>
      <c r="F10" s="81">
        <f t="shared" si="0"/>
        <v>3126130</v>
      </c>
      <c r="G10" s="82">
        <f>(F10+E10)/3900</f>
        <v>1475.1615384615384</v>
      </c>
      <c r="H10" s="102">
        <f>G10*3900</f>
        <v>5753130</v>
      </c>
      <c r="I10" s="78" t="s">
        <v>53</v>
      </c>
      <c r="J10" s="83" t="s">
        <v>180</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searchVariation=MCO28087623&amp;position=13&amp;search_layout=stack&amp;type=product&amp;tracking_id=1fca398b-5b2e-4e88-a135-acde060ae640" display="https://www.mercadolibre.com.co/procesador-intel-core-i5-14600k-35-ghz-socket-1700/p/MCO28087623 - searchVariation=MCO28087623&amp;position=13&amp;search_layout=stack&amp;type=product&amp;tracking_id=1fca398b-5b2e-4e88-a135-acde060ae640" xr:uid="{A34D46F0-C771-4F38-BCB3-F094E5F57284}"/>
    <hyperlink ref="C9" r:id="rId2" xr:uid="{5346697B-13F8-4C12-8431-A94146E13BE9}"/>
    <hyperlink ref="C10" r:id="rId3" location="position=13&amp;search_layout=stack&amp;type=item&amp;tracking_id=2dccec45-5e91-4096-aef0-9854c6a970b8" display="https://articulo.mercadolibre.com.co/MCO-1841202220-combo-board-h610m-procesador-intel-core-i7-13700f-pc-_JM - position=13&amp;search_layout=stack&amp;type=item&amp;tracking_id=2dccec45-5e91-4096-aef0-9854c6a970b8" xr:uid="{039BF660-DE3B-4BCB-AC97-BCDF8D6AC842}"/>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4" workbookViewId="0">
      <selection activeCell="K13" sqref="K13"/>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06" t="s">
        <v>0</v>
      </c>
      <c r="E2" s="107"/>
      <c r="F2" s="107"/>
      <c r="G2" s="107"/>
      <c r="H2" s="107"/>
    </row>
    <row r="3" spans="1:26" ht="12.75" customHeight="1"/>
    <row r="4" spans="1:26" ht="12.75" customHeight="1"/>
    <row r="5" spans="1:26" ht="43.5" customHeight="1">
      <c r="A5" s="115" t="s">
        <v>224</v>
      </c>
      <c r="B5" s="109"/>
      <c r="C5" s="109"/>
      <c r="D5" s="109"/>
      <c r="E5" s="109"/>
      <c r="F5" s="109"/>
      <c r="G5" s="109"/>
      <c r="H5" s="109"/>
      <c r="I5" s="109"/>
      <c r="J5" s="110"/>
    </row>
    <row r="6" spans="1:26" ht="15.75" customHeight="1"/>
    <row r="7" spans="1:26" ht="75.75" customHeight="1">
      <c r="A7" s="2" t="s">
        <v>2</v>
      </c>
      <c r="B7" s="14" t="s">
        <v>3</v>
      </c>
      <c r="C7" s="14" t="s">
        <v>4</v>
      </c>
      <c r="D7" s="14" t="s">
        <v>223</v>
      </c>
      <c r="E7" s="14" t="s">
        <v>50</v>
      </c>
      <c r="F7" s="15" t="s">
        <v>7</v>
      </c>
      <c r="G7" s="16" t="s">
        <v>100</v>
      </c>
      <c r="H7" s="14" t="s">
        <v>9</v>
      </c>
      <c r="I7" s="14" t="s">
        <v>10</v>
      </c>
      <c r="J7" s="14" t="s">
        <v>11</v>
      </c>
      <c r="K7" s="6"/>
      <c r="L7" s="6"/>
      <c r="M7" s="6"/>
      <c r="N7" s="6"/>
      <c r="O7" s="6"/>
      <c r="P7" s="6"/>
      <c r="Q7" s="6"/>
      <c r="R7" s="6"/>
      <c r="S7" s="6"/>
      <c r="T7" s="6"/>
      <c r="U7" s="6"/>
      <c r="V7" s="6"/>
      <c r="W7" s="6"/>
      <c r="X7" s="6"/>
      <c r="Y7" s="6"/>
      <c r="Z7" s="6"/>
    </row>
    <row r="8" spans="1:26" ht="50.25" customHeight="1">
      <c r="A8" s="30" t="s">
        <v>12</v>
      </c>
      <c r="B8" s="78" t="s">
        <v>182</v>
      </c>
      <c r="C8" s="104" t="s">
        <v>183</v>
      </c>
      <c r="D8" s="80" t="s">
        <v>228</v>
      </c>
      <c r="E8" s="71" t="s">
        <v>184</v>
      </c>
      <c r="F8" s="81" t="s">
        <v>189</v>
      </c>
      <c r="G8" s="81" t="s">
        <v>190</v>
      </c>
      <c r="H8" s="81" t="s">
        <v>222</v>
      </c>
      <c r="I8" s="78" t="s">
        <v>16</v>
      </c>
      <c r="J8" s="80" t="s">
        <v>185</v>
      </c>
    </row>
    <row r="9" spans="1:26" ht="50.25" customHeight="1">
      <c r="A9" s="30" t="s">
        <v>18</v>
      </c>
      <c r="B9" s="78" t="s">
        <v>186</v>
      </c>
      <c r="C9" s="104" t="s">
        <v>187</v>
      </c>
      <c r="D9" s="80" t="s">
        <v>229</v>
      </c>
      <c r="E9" s="71" t="s">
        <v>188</v>
      </c>
      <c r="F9" s="81" t="s">
        <v>191</v>
      </c>
      <c r="G9" s="81" t="s">
        <v>192</v>
      </c>
      <c r="H9" s="81" t="s">
        <v>222</v>
      </c>
      <c r="I9" s="78" t="s">
        <v>16</v>
      </c>
      <c r="J9" s="80" t="s">
        <v>193</v>
      </c>
    </row>
    <row r="10" spans="1:26" ht="50.25" customHeight="1">
      <c r="A10" s="30" t="s">
        <v>23</v>
      </c>
      <c r="B10" s="78" t="s">
        <v>194</v>
      </c>
      <c r="C10" s="104" t="s">
        <v>195</v>
      </c>
      <c r="D10" s="80" t="s">
        <v>230</v>
      </c>
      <c r="E10" s="71" t="s">
        <v>196</v>
      </c>
      <c r="F10" s="81" t="s">
        <v>197</v>
      </c>
      <c r="G10" s="81" t="s">
        <v>198</v>
      </c>
      <c r="H10" s="81" t="s">
        <v>222</v>
      </c>
      <c r="I10" s="78" t="s">
        <v>16</v>
      </c>
      <c r="J10" s="87" t="s">
        <v>199</v>
      </c>
    </row>
    <row r="11" spans="1:26" ht="15" hidden="1" customHeight="1">
      <c r="A11" s="10"/>
      <c r="B11" s="31"/>
      <c r="C11" s="31"/>
      <c r="D11" s="31"/>
      <c r="E11" s="31"/>
      <c r="F11" s="31"/>
      <c r="G11" s="31"/>
      <c r="H11" s="31"/>
      <c r="I11" s="31"/>
      <c r="J11" s="31"/>
    </row>
    <row r="12" spans="1:26" ht="12.75" customHeight="1"/>
    <row r="13" spans="1:26" ht="138.75" customHeight="1">
      <c r="A13" s="111" t="s">
        <v>49</v>
      </c>
      <c r="B13" s="109"/>
      <c r="C13" s="109"/>
      <c r="D13" s="109"/>
      <c r="E13" s="109"/>
      <c r="F13" s="109"/>
      <c r="G13" s="109"/>
      <c r="H13" s="109"/>
      <c r="I13" s="109"/>
      <c r="J13" s="110"/>
    </row>
    <row r="14" spans="1:26" ht="12.75" customHeight="1"/>
    <row r="15" spans="1:26" ht="75" customHeight="1">
      <c r="A15" s="111" t="s">
        <v>29</v>
      </c>
      <c r="B15" s="109"/>
      <c r="C15" s="109"/>
      <c r="D15" s="109"/>
      <c r="E15" s="109"/>
      <c r="F15" s="109"/>
      <c r="G15" s="109"/>
      <c r="H15" s="109"/>
      <c r="I15" s="109"/>
      <c r="J15" s="11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10" r:id="rId1" xr:uid="{2357E9FF-A662-48FD-BB7B-2A2834E69C02}"/>
    <hyperlink ref="C9" r:id="rId2" xr:uid="{FC4F529E-F34A-4131-A732-587FD94E651C}"/>
    <hyperlink ref="C8" r:id="rId3" xr:uid="{88C4DFDE-E932-4322-A9C4-8BCCE5E71CDF}"/>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85"/>
  <sheetViews>
    <sheetView tabSelected="1" topLeftCell="A4" workbookViewId="0">
      <selection activeCell="C12" sqref="C12"/>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6" t="s">
        <v>181</v>
      </c>
    </row>
    <row r="2" spans="1:26" ht="27.75" customHeight="1">
      <c r="D2" s="106" t="s">
        <v>0</v>
      </c>
      <c r="E2" s="106"/>
      <c r="F2" s="106"/>
      <c r="G2" s="106"/>
      <c r="H2" s="106"/>
    </row>
    <row r="3" spans="1:26" ht="12.75" customHeight="1"/>
    <row r="4" spans="1:26" ht="12.75" customHeight="1"/>
    <row r="5" spans="1:26" ht="43.5" customHeight="1">
      <c r="A5" s="108" t="s">
        <v>225</v>
      </c>
      <c r="B5" s="117"/>
      <c r="C5" s="117"/>
      <c r="D5" s="117"/>
      <c r="E5" s="117"/>
      <c r="F5" s="117"/>
      <c r="G5" s="117"/>
      <c r="H5" s="117"/>
      <c r="I5" s="117"/>
      <c r="J5" s="118"/>
    </row>
    <row r="6" spans="1:26" ht="75.75" customHeight="1">
      <c r="A6" s="2" t="s">
        <v>2</v>
      </c>
      <c r="B6" s="14" t="s">
        <v>3</v>
      </c>
      <c r="C6" s="14" t="s">
        <v>4</v>
      </c>
      <c r="D6" s="14" t="s">
        <v>5</v>
      </c>
      <c r="E6" s="14" t="s">
        <v>50</v>
      </c>
      <c r="F6" s="15" t="s">
        <v>7</v>
      </c>
      <c r="G6" s="16" t="s">
        <v>100</v>
      </c>
      <c r="H6" s="14" t="s">
        <v>9</v>
      </c>
      <c r="I6" s="14" t="s">
        <v>10</v>
      </c>
      <c r="J6" s="14" t="s">
        <v>11</v>
      </c>
      <c r="K6" s="6"/>
      <c r="L6" s="6"/>
      <c r="M6" s="6"/>
      <c r="N6" s="6"/>
      <c r="O6" s="6"/>
      <c r="P6" s="6"/>
      <c r="Q6" s="6"/>
      <c r="R6" s="6"/>
      <c r="S6" s="6"/>
      <c r="T6" s="6"/>
      <c r="U6" s="6"/>
      <c r="V6" s="6"/>
      <c r="W6" s="6"/>
      <c r="X6" s="6"/>
      <c r="Y6" s="6"/>
      <c r="Z6" s="6"/>
    </row>
    <row r="7" spans="1:26" ht="50.25" customHeight="1">
      <c r="A7" s="30" t="s">
        <v>12</v>
      </c>
      <c r="B7" s="78" t="s">
        <v>200</v>
      </c>
      <c r="C7" s="104" t="s">
        <v>201</v>
      </c>
      <c r="D7" s="80" t="s">
        <v>231</v>
      </c>
      <c r="E7" s="71" t="s">
        <v>202</v>
      </c>
      <c r="F7" s="81" t="s">
        <v>203</v>
      </c>
      <c r="G7" s="81" t="s">
        <v>204</v>
      </c>
      <c r="H7" s="81" t="s">
        <v>222</v>
      </c>
      <c r="I7" s="78" t="s">
        <v>16</v>
      </c>
      <c r="J7" s="80" t="s">
        <v>205</v>
      </c>
    </row>
    <row r="8" spans="1:26" ht="68.25" customHeight="1">
      <c r="A8" s="30" t="s">
        <v>18</v>
      </c>
      <c r="B8" s="78" t="s">
        <v>206</v>
      </c>
      <c r="C8" s="104" t="s">
        <v>207</v>
      </c>
      <c r="D8" s="80" t="s">
        <v>232</v>
      </c>
      <c r="E8" s="71" t="s">
        <v>208</v>
      </c>
      <c r="F8" s="81" t="s">
        <v>209</v>
      </c>
      <c r="G8" s="81" t="s">
        <v>210</v>
      </c>
      <c r="H8" s="81" t="s">
        <v>222</v>
      </c>
      <c r="I8" s="78" t="s">
        <v>16</v>
      </c>
      <c r="J8" s="80" t="s">
        <v>211</v>
      </c>
    </row>
    <row r="9" spans="1:26" ht="50.25" customHeight="1">
      <c r="A9" s="30" t="s">
        <v>23</v>
      </c>
      <c r="B9" s="78" t="s">
        <v>182</v>
      </c>
      <c r="C9" s="104" t="s">
        <v>212</v>
      </c>
      <c r="D9" s="80" t="s">
        <v>233</v>
      </c>
      <c r="E9" s="71" t="s">
        <v>213</v>
      </c>
      <c r="F9" s="81" t="s">
        <v>214</v>
      </c>
      <c r="G9" s="81" t="s">
        <v>215</v>
      </c>
      <c r="H9" s="81" t="s">
        <v>222</v>
      </c>
      <c r="I9" s="78" t="s">
        <v>16</v>
      </c>
      <c r="J9" s="87" t="s">
        <v>216</v>
      </c>
    </row>
    <row r="10" spans="1:26" ht="15" hidden="1" customHeight="1">
      <c r="A10" s="10"/>
      <c r="B10" s="31"/>
      <c r="C10" s="31"/>
      <c r="D10" s="31"/>
      <c r="E10" s="31"/>
      <c r="F10" s="31"/>
      <c r="G10" s="31"/>
      <c r="H10" s="31"/>
      <c r="I10" s="31"/>
      <c r="J10" s="31"/>
    </row>
    <row r="11" spans="1:26" ht="50.25" customHeight="1"/>
    <row r="12" spans="1:26" ht="50.25" customHeight="1"/>
    <row r="13" spans="1:26" ht="12.75" customHeight="1"/>
    <row r="14" spans="1:26" ht="50.25" customHeight="1"/>
    <row r="15" spans="1:26" ht="50.25" customHeight="1"/>
    <row r="16" spans="1:26" ht="50.25" customHeight="1"/>
    <row r="17" ht="50.2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2">
    <mergeCell ref="D2:H2"/>
    <mergeCell ref="A5:J5"/>
  </mergeCells>
  <phoneticPr fontId="46" type="noConversion"/>
  <hyperlinks>
    <hyperlink ref="C7" r:id="rId1" xr:uid="{3D6722F5-17CC-49E9-A09A-6131002F7334}"/>
    <hyperlink ref="C8" r:id="rId2" xr:uid="{D330AC20-8E8E-4DF0-8186-DAD3EE7EF88E}"/>
    <hyperlink ref="C9" r:id="rId3" xr:uid="{B1DC728A-4336-4621-9367-FEAD0D3FDDC9}"/>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998"/>
  <sheetViews>
    <sheetView workbookViewId="0">
      <selection activeCell="E8" sqref="E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06" t="s">
        <v>0</v>
      </c>
      <c r="E2" s="107"/>
      <c r="F2" s="107"/>
      <c r="G2" s="107"/>
      <c r="H2" s="107"/>
    </row>
    <row r="3" spans="1:26" ht="12.75" customHeight="1"/>
    <row r="4" spans="1:26" ht="12.75" customHeight="1"/>
    <row r="5" spans="1:26" ht="43.5" customHeight="1">
      <c r="A5" s="108" t="s">
        <v>226</v>
      </c>
      <c r="B5" s="109"/>
      <c r="C5" s="109"/>
      <c r="D5" s="109"/>
      <c r="E5" s="109"/>
      <c r="F5" s="109"/>
      <c r="G5" s="109"/>
      <c r="H5" s="109"/>
      <c r="I5" s="109"/>
      <c r="J5" s="110"/>
    </row>
    <row r="6" spans="1:26" ht="15.75" customHeight="1"/>
    <row r="7" spans="1:26" ht="75.75" customHeight="1">
      <c r="A7" s="2" t="s">
        <v>2</v>
      </c>
      <c r="B7" s="14" t="s">
        <v>3</v>
      </c>
      <c r="C7" s="14" t="s">
        <v>4</v>
      </c>
      <c r="D7" s="14" t="s">
        <v>5</v>
      </c>
      <c r="E7" s="14" t="s">
        <v>50</v>
      </c>
      <c r="F7" s="15" t="s">
        <v>7</v>
      </c>
      <c r="G7" s="16" t="s">
        <v>100</v>
      </c>
      <c r="H7" s="14" t="s">
        <v>9</v>
      </c>
      <c r="I7" s="14" t="s">
        <v>10</v>
      </c>
      <c r="J7" s="14" t="s">
        <v>11</v>
      </c>
      <c r="K7" s="6"/>
      <c r="L7" s="6"/>
      <c r="M7" s="6"/>
      <c r="N7" s="6"/>
      <c r="O7" s="6"/>
      <c r="P7" s="6"/>
      <c r="Q7" s="6"/>
      <c r="R7" s="6"/>
      <c r="S7" s="6"/>
      <c r="T7" s="6"/>
      <c r="U7" s="6"/>
      <c r="V7" s="6"/>
      <c r="W7" s="6"/>
      <c r="X7" s="6"/>
      <c r="Y7" s="6"/>
      <c r="Z7" s="6"/>
    </row>
    <row r="8" spans="1:26" ht="50.25" customHeight="1">
      <c r="A8" s="30" t="s">
        <v>12</v>
      </c>
      <c r="B8" s="78" t="s">
        <v>217</v>
      </c>
      <c r="C8" s="104" t="s">
        <v>218</v>
      </c>
      <c r="D8" s="80" t="s">
        <v>234</v>
      </c>
      <c r="E8" s="71" t="s">
        <v>255</v>
      </c>
      <c r="F8" s="81" t="s">
        <v>219</v>
      </c>
      <c r="G8" s="81" t="s">
        <v>220</v>
      </c>
      <c r="H8" s="81" t="s">
        <v>222</v>
      </c>
      <c r="I8" s="78" t="s">
        <v>16</v>
      </c>
      <c r="J8" s="80" t="s">
        <v>221</v>
      </c>
    </row>
    <row r="9" spans="1:26" ht="15" hidden="1" customHeight="1">
      <c r="A9" s="10"/>
      <c r="B9" s="31"/>
      <c r="C9" s="31"/>
      <c r="D9" s="31"/>
      <c r="E9" s="31"/>
      <c r="F9" s="31"/>
      <c r="G9" s="88">
        <f t="shared" ref="G9" si="0">F9+E9</f>
        <v>0</v>
      </c>
      <c r="H9" s="31"/>
      <c r="I9" s="31"/>
      <c r="J9" s="31"/>
    </row>
    <row r="10" spans="1:26" ht="12.75" customHeight="1">
      <c r="A10" s="105" t="s">
        <v>227</v>
      </c>
      <c r="G10" s="9"/>
    </row>
    <row r="11" spans="1:26" ht="138.75" customHeight="1">
      <c r="A11" s="111" t="s">
        <v>49</v>
      </c>
      <c r="B11" s="119"/>
      <c r="C11" s="119"/>
      <c r="D11" s="119"/>
      <c r="E11" s="119"/>
      <c r="F11" s="119"/>
      <c r="G11" s="119"/>
      <c r="H11" s="119"/>
      <c r="I11" s="119"/>
      <c r="J11" s="120"/>
    </row>
    <row r="12" spans="1:26" ht="12.75" customHeight="1"/>
    <row r="13" spans="1:26" ht="75" customHeight="1">
      <c r="A13" s="111" t="s">
        <v>29</v>
      </c>
      <c r="B13" s="119"/>
      <c r="C13" s="119"/>
      <c r="D13" s="119"/>
      <c r="E13" s="119"/>
      <c r="F13" s="119"/>
      <c r="G13" s="119"/>
      <c r="H13" s="119"/>
      <c r="I13" s="119"/>
      <c r="J13" s="120"/>
    </row>
    <row r="14" spans="1:26" ht="12.75" customHeight="1"/>
    <row r="15" spans="1:26" ht="12.75" customHeight="1"/>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2"/>
      <c r="E24" s="12"/>
      <c r="F24" s="1"/>
      <c r="G24" s="1"/>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D2:H2"/>
    <mergeCell ref="A5:J5"/>
    <mergeCell ref="A11:J11"/>
    <mergeCell ref="A13:J13"/>
  </mergeCells>
  <hyperlinks>
    <hyperlink ref="C8" r:id="rId1" xr:uid="{CCBF8296-B94B-493F-8C61-F58971886B86}"/>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999"/>
  <sheetViews>
    <sheetView workbookViewId="0">
      <selection activeCell="I8" sqref="I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0" ht="12.75" customHeight="1">
      <c r="A1" s="1"/>
    </row>
    <row r="2" spans="1:20" ht="27.75" customHeight="1">
      <c r="D2" s="106" t="s">
        <v>0</v>
      </c>
      <c r="E2" s="107"/>
      <c r="F2" s="107"/>
      <c r="G2" s="107"/>
      <c r="H2" s="107"/>
    </row>
    <row r="3" spans="1:20" ht="12.75" customHeight="1"/>
    <row r="4" spans="1:20" ht="12.75" customHeight="1"/>
    <row r="5" spans="1:20" ht="43.5" customHeight="1">
      <c r="A5" s="108" t="s">
        <v>250</v>
      </c>
      <c r="B5" s="109"/>
      <c r="C5" s="109"/>
      <c r="D5" s="109"/>
      <c r="E5" s="109"/>
      <c r="F5" s="109"/>
      <c r="G5" s="109"/>
      <c r="H5" s="109"/>
      <c r="I5" s="109"/>
      <c r="J5" s="110"/>
    </row>
    <row r="6" spans="1:20" ht="15.75" customHeight="1"/>
    <row r="7" spans="1:20" ht="75.75" customHeight="1">
      <c r="A7" s="2" t="s">
        <v>235</v>
      </c>
      <c r="B7" s="14" t="s">
        <v>236</v>
      </c>
      <c r="C7" s="14" t="s">
        <v>237</v>
      </c>
      <c r="D7" s="14" t="s">
        <v>238</v>
      </c>
      <c r="E7" s="6"/>
      <c r="F7" s="6"/>
      <c r="G7" s="6"/>
      <c r="H7" s="6"/>
      <c r="I7" s="6"/>
      <c r="J7" s="6"/>
      <c r="K7" s="6"/>
      <c r="L7" s="6"/>
      <c r="M7" s="6"/>
      <c r="N7" s="6"/>
      <c r="O7" s="6"/>
      <c r="P7" s="6"/>
      <c r="Q7" s="6"/>
      <c r="R7" s="6"/>
      <c r="S7" s="6"/>
      <c r="T7" s="6"/>
    </row>
    <row r="8" spans="1:20" ht="50.25" customHeight="1">
      <c r="A8" s="30" t="s">
        <v>239</v>
      </c>
      <c r="B8" s="90" t="s">
        <v>240</v>
      </c>
      <c r="C8" s="90" t="s">
        <v>241</v>
      </c>
      <c r="D8" s="91" t="s">
        <v>242</v>
      </c>
    </row>
    <row r="9" spans="1:20" ht="50.25" customHeight="1">
      <c r="A9" s="30" t="s">
        <v>243</v>
      </c>
      <c r="B9" s="90" t="s">
        <v>244</v>
      </c>
      <c r="C9" s="91" t="s">
        <v>246</v>
      </c>
      <c r="D9" s="90" t="s">
        <v>245</v>
      </c>
    </row>
    <row r="10" spans="1:20" ht="50.25" customHeight="1">
      <c r="A10" s="30" t="s">
        <v>247</v>
      </c>
      <c r="B10" s="89" t="s">
        <v>248</v>
      </c>
      <c r="C10" s="79" t="s">
        <v>246</v>
      </c>
      <c r="D10" s="92" t="s">
        <v>249</v>
      </c>
    </row>
    <row r="11" spans="1:20" ht="15" hidden="1" customHeight="1">
      <c r="A11" s="10"/>
      <c r="B11" s="31"/>
      <c r="C11" s="31"/>
      <c r="D11" s="31"/>
      <c r="E11" s="31"/>
      <c r="F11" s="31"/>
      <c r="G11" s="31"/>
      <c r="H11" s="31"/>
      <c r="I11" s="31"/>
      <c r="J11" s="31"/>
    </row>
    <row r="12" spans="1:20" ht="50.25" customHeight="1">
      <c r="A12" s="30" t="s">
        <v>251</v>
      </c>
      <c r="B12" s="89" t="s">
        <v>252</v>
      </c>
      <c r="C12" s="79" t="s">
        <v>246</v>
      </c>
      <c r="D12" s="92" t="s">
        <v>249</v>
      </c>
    </row>
    <row r="13" spans="1:20" ht="50.25" customHeight="1">
      <c r="A13" s="30" t="s">
        <v>253</v>
      </c>
      <c r="B13" s="89" t="s">
        <v>254</v>
      </c>
      <c r="C13" s="79" t="s">
        <v>246</v>
      </c>
      <c r="D13" s="92" t="s">
        <v>245</v>
      </c>
    </row>
    <row r="14" spans="1:20" ht="12.75" customHeight="1"/>
    <row r="15" spans="1:20" ht="12.75" customHeight="1"/>
    <row r="16" spans="1:20"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2"/>
      <c r="E25" s="12"/>
      <c r="F25" s="1"/>
      <c r="G25" s="1"/>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2">
    <mergeCell ref="D2:H2"/>
    <mergeCell ref="A5:J5"/>
  </mergeCells>
  <hyperlinks>
    <hyperlink ref="C10" r:id="rId1" display="https://visualstudio.microsoft.com/es/vs/pricing/" xr:uid="{BB1C18D6-44EB-4951-BE07-BCDCBB8F33C8}"/>
    <hyperlink ref="C12" r:id="rId2" display="https://visualstudio.microsoft.com/es/vs/pricing/" xr:uid="{5E0F2295-5857-4345-A6DB-9381841A03DC}"/>
    <hyperlink ref="C13" r:id="rId3" display="https://visualstudio.microsoft.com/es/vs/pricing/" xr:uid="{987C0E01-4DE1-4F57-A26F-F5FDDDED76A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Torre admin</vt:lpstr>
      <vt:lpstr>Monitor Admin</vt:lpstr>
      <vt:lpstr>DiscoSolido Admin</vt:lpstr>
      <vt:lpstr>Disco duro interno Admin</vt:lpstr>
      <vt:lpstr>Servidor Admin</vt:lpstr>
      <vt:lpstr>ram Admin</vt:lpstr>
      <vt:lpstr>Teclado Admin</vt:lpstr>
      <vt:lpstr>Mause Admin</vt:lpstr>
      <vt:lpstr>Portatil Nosotros</vt:lpstr>
      <vt:lpstr>Monitor Nosotros</vt:lpstr>
      <vt:lpstr> Disco mecanico Nosotros</vt:lpstr>
      <vt:lpstr> Servidor Nosotros</vt:lpstr>
      <vt:lpstr> ram nosotros</vt:lpstr>
      <vt:lpstr>Tarjeta de video nosotros</vt:lpstr>
      <vt:lpstr>Procesador Nosotros</vt:lpstr>
      <vt:lpstr>Hosting</vt:lpstr>
      <vt:lpstr>Dominio</vt:lpstr>
      <vt:lpstr>GooglePlay</vt:lpstr>
      <vt:lpstr>Software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Juan Sebastian Rojas Loaiza</cp:lastModifiedBy>
  <cp:revision/>
  <dcterms:created xsi:type="dcterms:W3CDTF">2010-11-08T17:12:41Z</dcterms:created>
  <dcterms:modified xsi:type="dcterms:W3CDTF">2025-11-18T22:23:00Z</dcterms:modified>
  <cp:category/>
  <cp:contentStatus/>
</cp:coreProperties>
</file>