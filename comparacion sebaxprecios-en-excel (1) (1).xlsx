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0E8C86BE-35AE-45B1-9677-1BD5F5093CE4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- AYUDA -" sheetId="5" r:id="rId1"/>
    <sheet name="Precios " sheetId="10" r:id="rId2"/>
    <sheet name="Soporte" sheetId="8" state="hidden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10" l="1"/>
  <c r="K15" i="10"/>
  <c r="L15" i="10"/>
  <c r="J12" i="10"/>
  <c r="J13" i="10"/>
  <c r="L12" i="10"/>
  <c r="J11" i="10"/>
  <c r="K12" i="10"/>
  <c r="L13" i="10" l="1"/>
  <c r="K13" i="10"/>
  <c r="L11" i="10"/>
  <c r="K11" i="10"/>
</calcChain>
</file>

<file path=xl/sharedStrings.xml><?xml version="1.0" encoding="utf-8"?>
<sst xmlns="http://schemas.openxmlformats.org/spreadsheetml/2006/main" count="81" uniqueCount="56">
  <si>
    <t>Ayuda</t>
  </si>
  <si>
    <t>Comparación de Precios entre diferentes proveedores</t>
  </si>
  <si>
    <t>Ingresa en la tabla los productos, los proveedores y sus precios</t>
  </si>
  <si>
    <t>ESTADÍSTICAS POR PRODUCTO</t>
  </si>
  <si>
    <t>PRODUCTO</t>
  </si>
  <si>
    <t>CANTIDAD</t>
  </si>
  <si>
    <t>PROVEEDOR 1</t>
  </si>
  <si>
    <t>PROVEEDOR 2</t>
  </si>
  <si>
    <t>PROVEEDOR 3</t>
  </si>
  <si>
    <t>PROVEEDOR 4</t>
  </si>
  <si>
    <t>PROVEEDOR 5</t>
  </si>
  <si>
    <t>PROVEEDOR 6</t>
  </si>
  <si>
    <t>PRECIO MÁS BAJO</t>
  </si>
  <si>
    <t>PRECIO PROMEDIO</t>
  </si>
  <si>
    <t>PRECIO MÁS ALTO</t>
  </si>
  <si>
    <t>DATOS ADICIONALES</t>
  </si>
  <si>
    <t>TIEMPO DE ENTREGA (DÍAS)</t>
  </si>
  <si>
    <t>COSTO DE ENVÍO</t>
  </si>
  <si>
    <t>FORMAS DE PAGO</t>
  </si>
  <si>
    <t>contado</t>
  </si>
  <si>
    <t>Almendras</t>
  </si>
  <si>
    <t>Nueces</t>
  </si>
  <si>
    <t>Pistachos</t>
  </si>
  <si>
    <t>Pecán</t>
  </si>
  <si>
    <t>Bananas</t>
  </si>
  <si>
    <t>Pasas</t>
  </si>
  <si>
    <t>Gratis</t>
  </si>
  <si>
    <t>Efvo</t>
  </si>
  <si>
    <t>Mercado Pago</t>
  </si>
  <si>
    <t>Efectivo</t>
  </si>
  <si>
    <t xml:space="preserve">Tarjeta </t>
  </si>
  <si>
    <t>Tarjeta cuotas</t>
  </si>
  <si>
    <t>Piñones</t>
  </si>
  <si>
    <t>Cranberries</t>
  </si>
  <si>
    <t>Castañas</t>
  </si>
  <si>
    <t>China Co</t>
  </si>
  <si>
    <t>Dominio (.com / .co)</t>
  </si>
  <si>
    <t>Hosting compartido</t>
  </si>
  <si>
    <t>Base de datos (MySQL / Firebase)</t>
  </si>
  <si>
    <t>Certificado SSL (Let’s Encrypt)</t>
  </si>
  <si>
    <t>Software de desarrollo (VS Code, GitHub, Node.js, React)</t>
  </si>
  <si>
    <t>Publicación Google Play</t>
  </si>
  <si>
    <t>TOTAL COSTO ANUAL PROYECTO</t>
  </si>
  <si>
    <t>1 / año</t>
  </si>
  <si>
    <t>$60,000</t>
  </si>
  <si>
    <t>$216,000</t>
  </si>
  <si>
    <t>$0</t>
  </si>
  <si>
    <t>Dominio (.com/.co)</t>
  </si>
  <si>
    <t>inmediato</t>
  </si>
  <si>
    <t>Base de datos (MySQL/Firebase)</t>
  </si>
  <si>
    <t>Certificado SSL</t>
  </si>
  <si>
    <t>Software de desarrollo</t>
  </si>
  <si>
    <t>1 a 5 días</t>
  </si>
  <si>
    <t>$110,000 – $125,000</t>
  </si>
  <si>
    <t>ww</t>
  </si>
  <si>
    <t>$320,000 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</si>
</sst>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\ #,##0.00;[Red]\-&quot;$&quot;\ #,##0.00"/>
    <numFmt numFmtId="165" formatCode="&quot;$&quot;\ #,##0.00"/>
  </numFmts>
  <fonts count="2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8745EC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sz val="16"/>
      <color theme="0" tint="-0.499984740745262"/>
      <name val="Calibri"/>
      <family val="2"/>
      <scheme val="minor"/>
    </font>
    <font>
      <sz val="11"/>
      <color rgb="FF000000"/>
      <name val="Arial"/>
      <family val="2"/>
    </font>
    <font>
      <sz val="13.95"/>
      <color rgb="FF595959"/>
      <name val="Calibri"/>
      <family val="2"/>
    </font>
    <font>
      <b/>
      <sz val="14"/>
      <color theme="1" tint="0.34998626667073579"/>
      <name val="Calibri"/>
      <scheme val="minor"/>
    </font>
    <font>
      <sz val="18"/>
      <color rgb="FF000000"/>
      <name val="Proxima Nova"/>
    </font>
    <font>
      <sz val="10"/>
      <color rgb="FF59595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2"/>
      <color rgb="FF4D5156"/>
      <name val="Arial"/>
      <family val="2"/>
      <charset val="1"/>
    </font>
    <font>
      <sz val="9"/>
      <color theme="1" tint="0.349986266670735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8F3FF"/>
        <bgColor indexed="64"/>
      </patternFill>
    </fill>
    <fill>
      <patternFill patternType="solid">
        <fgColor rgb="FF8745EC"/>
        <bgColor indexed="64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/>
      <top/>
      <bottom style="thin">
        <color theme="0"/>
      </bottom>
      <diagonal/>
    </border>
    <border>
      <left style="medium">
        <color rgb="FF8745EC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rgb="FF8745EC"/>
      </right>
      <top style="thin">
        <color theme="0"/>
      </top>
      <bottom style="thin">
        <color theme="0"/>
      </bottom>
      <diagonal/>
    </border>
    <border>
      <left style="medium">
        <color rgb="FF8745EC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dashed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ashed">
        <color theme="0" tint="-0.34998626667073579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rgb="FF8745EC"/>
      </right>
      <top style="thin">
        <color theme="0"/>
      </top>
      <bottom/>
      <diagonal/>
    </border>
    <border>
      <left/>
      <right style="thin">
        <color rgb="FFFFFF66"/>
      </right>
      <top/>
      <bottom/>
      <diagonal/>
    </border>
    <border>
      <left style="thin">
        <color rgb="FFFFFF66"/>
      </left>
      <right style="thin">
        <color rgb="FFFFFF66"/>
      </right>
      <top style="thin">
        <color rgb="FFFFFFFF"/>
      </top>
      <bottom style="thin">
        <color rgb="FFF2F2F2"/>
      </bottom>
      <diagonal/>
    </border>
    <border>
      <left style="thin">
        <color rgb="FFFFFF66"/>
      </left>
      <right/>
      <top/>
      <bottom/>
      <diagonal/>
    </border>
    <border>
      <left style="thin">
        <color rgb="FFFFFF66"/>
      </left>
      <right style="thin">
        <color rgb="FFFFFF66"/>
      </right>
      <top style="thin">
        <color rgb="FFF2F2F2"/>
      </top>
      <bottom style="thin">
        <color rgb="FFF2F2F2"/>
      </bottom>
      <diagonal/>
    </border>
    <border>
      <left/>
      <right/>
      <top style="slantDashDot">
        <color theme="0" tint="-4.9989318521683403E-2"/>
      </top>
      <bottom style="medium">
        <color theme="0" tint="-4.9989318521683403E-2"/>
      </bottom>
      <diagonal/>
    </border>
    <border>
      <left style="medium">
        <color rgb="FF8745EC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0" tint="-0.34998626667073579"/>
      </right>
      <top style="thin">
        <color theme="0" tint="-0.499984740745262"/>
      </top>
      <bottom style="dashed">
        <color theme="0" tint="-0.34998626667073579"/>
      </bottom>
      <diagonal/>
    </border>
    <border>
      <left style="thin">
        <color theme="1" tint="0.499984740745262"/>
      </left>
      <right style="thin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theme="1" tint="0.499984740745262"/>
      </left>
      <right style="thin">
        <color theme="0" tint="-0.34998626667073579"/>
      </right>
      <top style="dashed">
        <color theme="0" tint="-0.34998626667073579"/>
      </top>
      <bottom style="thin">
        <color theme="0" tint="-0.499984740745262"/>
      </bottom>
      <diagonal/>
    </border>
    <border>
      <left/>
      <right/>
      <top/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 style="medium">
        <color rgb="FF8745EC"/>
      </left>
      <right/>
      <top style="medium">
        <color rgb="FF8745EC"/>
      </top>
      <bottom style="thin">
        <color theme="0"/>
      </bottom>
      <diagonal/>
    </border>
    <border>
      <left/>
      <right/>
      <top style="medium">
        <color rgb="FF8745EC"/>
      </top>
      <bottom style="thin">
        <color theme="0"/>
      </bottom>
      <diagonal/>
    </border>
    <border>
      <left/>
      <right style="medium">
        <color rgb="FF8745EC"/>
      </right>
      <top style="medium">
        <color rgb="FF8745EC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0" tint="-0.34998626667073579"/>
      </right>
      <top/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 tint="-0.34998626667073579"/>
      </right>
      <top style="dashed">
        <color theme="0" tint="-0.34998626667073579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0" tint="-0.34998626667073579"/>
      </right>
      <top style="dashed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499984740745262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76">
    <xf numFmtId="0" fontId="0" fillId="0" borderId="0" xfId="0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0" fillId="5" borderId="0" xfId="0" applyFill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165" fontId="8" fillId="3" borderId="1" xfId="0" applyNumberFormat="1" applyFont="1" applyFill="1" applyBorder="1" applyAlignment="1">
      <alignment horizontal="center"/>
    </xf>
    <xf numFmtId="165" fontId="9" fillId="0" borderId="2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165" fontId="8" fillId="3" borderId="4" xfId="0" applyNumberFormat="1" applyFont="1" applyFill="1" applyBorder="1" applyAlignment="1">
      <alignment horizontal="center"/>
    </xf>
    <xf numFmtId="165" fontId="8" fillId="3" borderId="5" xfId="0" applyNumberFormat="1" applyFont="1" applyFill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5" fillId="0" borderId="0" xfId="2"/>
    <xf numFmtId="0" fontId="11" fillId="0" borderId="0" xfId="2" applyFont="1" applyAlignment="1">
      <alignment vertical="center"/>
    </xf>
    <xf numFmtId="0" fontId="11" fillId="0" borderId="0" xfId="2" applyFont="1" applyAlignment="1">
      <alignment vertical="top"/>
    </xf>
    <xf numFmtId="0" fontId="7" fillId="0" borderId="8" xfId="0" applyFont="1" applyBorder="1" applyAlignment="1">
      <alignment horizontal="left" vertical="center" wrapText="1" indent="1"/>
    </xf>
    <xf numFmtId="165" fontId="9" fillId="0" borderId="9" xfId="0" applyNumberFormat="1" applyFont="1" applyBorder="1" applyAlignment="1">
      <alignment horizontal="center" vertical="center"/>
    </xf>
    <xf numFmtId="165" fontId="9" fillId="0" borderId="10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" fontId="10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65" fontId="8" fillId="3" borderId="6" xfId="0" applyNumberFormat="1" applyFont="1" applyFill="1" applyBorder="1" applyAlignment="1">
      <alignment horizontal="center"/>
    </xf>
    <xf numFmtId="165" fontId="8" fillId="3" borderId="13" xfId="0" applyNumberFormat="1" applyFont="1" applyFill="1" applyBorder="1" applyAlignment="1">
      <alignment horizontal="center"/>
    </xf>
    <xf numFmtId="165" fontId="8" fillId="3" borderId="14" xfId="0" applyNumberFormat="1" applyFont="1" applyFill="1" applyBorder="1" applyAlignment="1">
      <alignment horizontal="center"/>
    </xf>
    <xf numFmtId="0" fontId="0" fillId="5" borderId="3" xfId="0" applyFill="1" applyBorder="1"/>
    <xf numFmtId="0" fontId="7" fillId="4" borderId="7" xfId="0" applyFont="1" applyFill="1" applyBorder="1" applyAlignment="1">
      <alignment horizontal="center" vertical="center" wrapText="1"/>
    </xf>
    <xf numFmtId="2" fontId="9" fillId="0" borderId="2" xfId="0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vertical="center" wrapText="1"/>
    </xf>
    <xf numFmtId="164" fontId="13" fillId="0" borderId="15" xfId="0" applyNumberFormat="1" applyFont="1" applyBorder="1" applyAlignment="1">
      <alignment vertical="center" wrapText="1"/>
    </xf>
    <xf numFmtId="164" fontId="14" fillId="0" borderId="16" xfId="0" applyNumberFormat="1" applyFont="1" applyBorder="1" applyAlignment="1">
      <alignment vertical="center" wrapText="1"/>
    </xf>
    <xf numFmtId="164" fontId="13" fillId="0" borderId="17" xfId="0" applyNumberFormat="1" applyFont="1" applyBorder="1" applyAlignment="1">
      <alignment vertical="center" wrapText="1"/>
    </xf>
    <xf numFmtId="164" fontId="14" fillId="0" borderId="18" xfId="0" applyNumberFormat="1" applyFont="1" applyBorder="1" applyAlignment="1">
      <alignment vertical="center" wrapText="1"/>
    </xf>
    <xf numFmtId="165" fontId="9" fillId="2" borderId="2" xfId="0" applyNumberFormat="1" applyFont="1" applyFill="1" applyBorder="1" applyAlignment="1">
      <alignment horizontal="center" vertical="center"/>
    </xf>
    <xf numFmtId="165" fontId="9" fillId="0" borderId="19" xfId="0" applyNumberFormat="1" applyFont="1" applyBorder="1" applyAlignment="1">
      <alignment horizontal="center" vertical="center"/>
    </xf>
    <xf numFmtId="2" fontId="9" fillId="0" borderId="19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65" fontId="9" fillId="0" borderId="23" xfId="0" applyNumberFormat="1" applyFont="1" applyBorder="1" applyAlignment="1">
      <alignment horizontal="center" vertical="center"/>
    </xf>
    <xf numFmtId="165" fontId="9" fillId="0" borderId="25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" fontId="10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164" fontId="14" fillId="6" borderId="28" xfId="0" applyNumberFormat="1" applyFont="1" applyFill="1" applyBorder="1" applyAlignment="1">
      <alignment vertical="center" wrapText="1"/>
    </xf>
    <xf numFmtId="164" fontId="14" fillId="6" borderId="29" xfId="0" applyNumberFormat="1" applyFont="1" applyFill="1" applyBorder="1" applyAlignment="1">
      <alignment vertical="center" wrapText="1"/>
    </xf>
    <xf numFmtId="0" fontId="13" fillId="0" borderId="0" xfId="0" applyFont="1"/>
    <xf numFmtId="165" fontId="9" fillId="0" borderId="2" xfId="0" applyNumberFormat="1" applyFont="1" applyBorder="1" applyAlignment="1">
      <alignment horizontal="center" vertical="center" wrapText="1"/>
    </xf>
    <xf numFmtId="165" fontId="9" fillId="2" borderId="2" xfId="0" applyNumberFormat="1" applyFont="1" applyFill="1" applyBorder="1" applyAlignment="1">
      <alignment horizontal="center" vertical="center" wrapText="1"/>
    </xf>
    <xf numFmtId="2" fontId="9" fillId="4" borderId="2" xfId="0" applyNumberFormat="1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center" vertical="center"/>
    </xf>
    <xf numFmtId="165" fontId="8" fillId="3" borderId="33" xfId="0" applyNumberFormat="1" applyFont="1" applyFill="1" applyBorder="1" applyAlignment="1">
      <alignment horizontal="center"/>
    </xf>
    <xf numFmtId="4" fontId="15" fillId="0" borderId="26" xfId="0" applyNumberFormat="1" applyFont="1" applyBorder="1" applyAlignment="1">
      <alignment horizontal="center" vertical="center"/>
    </xf>
    <xf numFmtId="165" fontId="9" fillId="0" borderId="34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wrapText="1"/>
    </xf>
    <xf numFmtId="0" fontId="9" fillId="0" borderId="37" xfId="0" applyFont="1" applyBorder="1" applyAlignment="1">
      <alignment horizontal="center" vertical="center"/>
    </xf>
    <xf numFmtId="4" fontId="10" fillId="0" borderId="38" xfId="0" applyNumberFormat="1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165" fontId="10" fillId="4" borderId="0" xfId="0" applyNumberFormat="1" applyFont="1" applyFill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9" fillId="0" borderId="0" xfId="0" applyFont="1"/>
    <xf numFmtId="0" fontId="20" fillId="0" borderId="39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 wrapText="1"/>
    </xf>
    <xf numFmtId="0" fontId="6" fillId="5" borderId="32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9">
    <dxf>
      <border>
        <left style="thin">
          <color rgb="FFFFFF66"/>
        </left>
        <right style="thin">
          <color rgb="FFFFFF66"/>
        </right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numFmt numFmtId="165" formatCode="&quot;$&quot;\ 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medium">
          <color rgb="FF8745EC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&quot;$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&quot;$&quot;\ #,##0.0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8745EC"/>
        <name val="Calibri"/>
        <scheme val="minor"/>
      </font>
      <fill>
        <patternFill patternType="solid">
          <fgColor indexed="64"/>
          <bgColor rgb="FFF8F3FF"/>
        </patternFill>
      </fill>
      <alignment horizontal="left" vertical="center" textRotation="0" wrapText="0" indent="1" justifyLastLine="0" shrinkToFit="0" readingOrder="0"/>
    </dxf>
    <dxf>
      <border>
        <left style="thin">
          <color rgb="FFFFFF66"/>
        </left>
        <right style="thin">
          <color rgb="FFFFFF66"/>
        </right>
        <vertical/>
        <horizontal/>
      </border>
    </dxf>
    <dxf>
      <fill>
        <gradientFill type="path" left="0.5" right="0.5" top="0.5" bottom="0.5">
          <stop position="0">
            <color theme="0"/>
          </stop>
          <stop position="1">
            <color rgb="FFFFFF66"/>
          </stop>
        </gradientFill>
      </fill>
      <border>
        <left style="thin">
          <color rgb="FFFFFF66"/>
        </left>
        <right style="thin">
          <color rgb="FFFFFF66"/>
        </right>
        <top style="thin">
          <color rgb="FFFFFF66"/>
        </top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mediumDashDot">
          <color theme="0"/>
        </left>
        <right style="mediumDashDot">
          <color theme="0"/>
        </right>
        <top style="mediumDashDot">
          <color theme="0" tint="-4.9989318521683403E-2"/>
        </top>
        <bottom style="mediumDashDot">
          <color theme="0"/>
        </bottom>
        <vertical style="mediumDashDot">
          <color theme="0"/>
        </vertical>
        <horizontal style="mediumDashDot">
          <color theme="0"/>
        </horizontal>
      </border>
    </dxf>
    <dxf>
      <font>
        <color rgb="FF8745EC"/>
      </font>
      <fill>
        <patternFill>
          <bgColor rgb="FFF8F3FF"/>
        </patternFill>
      </fill>
    </dxf>
    <dxf>
      <border diagonalUp="1">
        <top style="slantDashDot">
          <color theme="0" tint="-4.9989318521683403E-2"/>
        </top>
        <bottom style="slantDashDot">
          <color theme="0" tint="-4.9989318521683403E-2"/>
        </bottom>
        <diagonal style="slantDashDot">
          <color theme="0" tint="-4.9989318521683403E-2"/>
        </diagonal>
        <vertical/>
        <horizontal style="slantDashDot">
          <color theme="0" tint="-4.9989318521683403E-2"/>
        </horizontal>
      </border>
    </dxf>
  </dxfs>
  <tableStyles count="1" defaultTableStyle="Estilo de tabla 1" defaultPivotStyle="PivotStyleLight16">
    <tableStyle name="Estilo de tabla 1" pivot="0" count="3" xr9:uid="{00000000-0011-0000-FFFF-FFFF00000000}">
      <tableStyleElement type="wholeTable" dxfId="28"/>
      <tableStyleElement type="headerRow" dxfId="27"/>
      <tableStyleElement type="totalRow" dxfId="26"/>
    </tableStyle>
  </tableStyles>
  <colors>
    <mruColors>
      <color rgb="FF8745EC"/>
      <color rgb="FFF8F3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4</xdr:row>
      <xdr:rowOff>152400</xdr:rowOff>
    </xdr:from>
    <xdr:to>
      <xdr:col>7</xdr:col>
      <xdr:colOff>444500</xdr:colOff>
      <xdr:row>35</xdr:row>
      <xdr:rowOff>76200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54000" y="1809750"/>
          <a:ext cx="7534275" cy="6115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>
              <a:solidFill>
                <a:schemeClr val="tx1">
                  <a:lumMod val="65000"/>
                  <a:lumOff val="35000"/>
                </a:schemeClr>
              </a:solidFill>
            </a:rPr>
            <a:t>En la plantilla de excel de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 comparación de precios entre proveedores le permitirá saber que proveedor le da el mejor precio para cada producto que quiera comprar.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</a:p>
        <a:p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Para usarla,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sigue estos pasos: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1.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Complete el nombre de los proveedores en la fila 8.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2.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Complete los productos a comparar en la columna B, la cantidad de cada uno de ellos en la columna C  y los precios a partir de la celda D9.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3.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Opcional: Se pueden agregar datos adicionales que hacen a la decisión del proveedor: 	 	</a:t>
          </a:r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Cantidad de días de entrega</a:t>
          </a:r>
          <a:b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</a:br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		Costo de envío </a:t>
          </a:r>
        </a:p>
        <a:p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		Formas de pago </a:t>
          </a:r>
        </a:p>
        <a:p>
          <a:endParaRPr lang="es-AR" sz="1600" b="0" i="1" u="dbl" strike="noStrike" baseline="0">
            <a:solidFill>
              <a:schemeClr val="tx1">
                <a:lumMod val="65000"/>
                <a:lumOff val="35000"/>
              </a:schemeClr>
            </a:solidFill>
            <a:effectLst/>
            <a:latin typeface="+mn-lt"/>
            <a:ea typeface="+mn-ea"/>
            <a:cs typeface="+mn-cs"/>
          </a:endParaRPr>
        </a:p>
        <a:p>
          <a:endParaRPr lang="es-AR" sz="1600" b="0" i="1" u="dbl" strike="noStrike" baseline="0">
            <a:solidFill>
              <a:schemeClr val="tx1">
                <a:lumMod val="65000"/>
                <a:lumOff val="35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600" b="1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Resultados</a:t>
          </a:r>
          <a:endParaRPr lang="es-A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Se obtiene el precio más bajo, el promedio y el más alto en las columnas J, K y L</a:t>
          </a:r>
        </a:p>
        <a:p>
          <a:pPr marL="0" indent="0"/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Se marcará en amarillo el proveedor que ofrece el precio más bajo total.</a:t>
          </a:r>
        </a:p>
        <a:p>
          <a:pPr marL="0" indent="0"/>
          <a:endParaRPr lang="es-AR" sz="1600" baseline="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s-AR" sz="1600" b="1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Aclaración</a:t>
          </a:r>
        </a:p>
        <a:p>
          <a:pPr marL="0" indent="0"/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En el caso de que haya más de un proveedor con el precio más bajo se marcará en amarillo también.</a:t>
          </a: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88899</xdr:colOff>
      <xdr:row>0</xdr:row>
      <xdr:rowOff>117475</xdr:rowOff>
    </xdr:from>
    <xdr:to>
      <xdr:col>6</xdr:col>
      <xdr:colOff>404812</xdr:colOff>
      <xdr:row>2</xdr:row>
      <xdr:rowOff>41275</xdr:rowOff>
    </xdr:to>
    <xdr:sp macro="" textlink="">
      <xdr:nvSpPr>
        <xdr:cNvPr id="6" name="TextBox 1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62743" y="117475"/>
          <a:ext cx="6626225" cy="733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Comparación de precios entre proveedores</a:t>
          </a:r>
        </a:p>
      </xdr:txBody>
    </xdr:sp>
    <xdr:clientData/>
  </xdr:twoCellAnchor>
  <xdr:twoCellAnchor editAs="absolute">
    <xdr:from>
      <xdr:col>9</xdr:col>
      <xdr:colOff>431800</xdr:colOff>
      <xdr:row>0</xdr:row>
      <xdr:rowOff>117475</xdr:rowOff>
    </xdr:from>
    <xdr:to>
      <xdr:col>10</xdr:col>
      <xdr:colOff>1168400</xdr:colOff>
      <xdr:row>2</xdr:row>
      <xdr:rowOff>41275</xdr:rowOff>
    </xdr:to>
    <xdr:sp macro="" textlink="">
      <xdr:nvSpPr>
        <xdr:cNvPr id="7" name="TextBox 1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0802144" y="117475"/>
          <a:ext cx="1998662" cy="733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DCF8F0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Larause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6</xdr:col>
      <xdr:colOff>187642</xdr:colOff>
      <xdr:row>2</xdr:row>
      <xdr:rowOff>40957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28600" y="190500"/>
          <a:ext cx="7675350" cy="736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Comparación</a:t>
          </a:r>
          <a:r>
            <a:rPr lang="en-US" sz="2400" b="1" baseline="0">
              <a:solidFill>
                <a:schemeClr val="bg1"/>
              </a:solidFill>
            </a:rPr>
            <a:t> de precios entre proveedores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8</xdr:col>
      <xdr:colOff>1111793</xdr:colOff>
      <xdr:row>1</xdr:row>
      <xdr:rowOff>155780</xdr:rowOff>
    </xdr:from>
    <xdr:to>
      <xdr:col>10</xdr:col>
      <xdr:colOff>1285466</xdr:colOff>
      <xdr:row>1</xdr:row>
      <xdr:rowOff>613297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1961826" y="346280"/>
          <a:ext cx="3012123" cy="457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F8F3FF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ImpactoF.S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ised/Downloads/MATRIZ/Cuadro-de-Cotizacio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rre admin"/>
      <sheetName val="Monitor Admin"/>
      <sheetName val="DiscoSolido Admin"/>
      <sheetName val="Disco duro interno Admin"/>
      <sheetName val="Servidor Admin"/>
      <sheetName val="ram Admin"/>
      <sheetName val="Teclado Admin"/>
      <sheetName val="Mause Admin"/>
      <sheetName val="Portatil Nosotros"/>
      <sheetName val="Monitor Nosotros"/>
      <sheetName val=" Disco mecanico Nosotros"/>
      <sheetName val=" Servidor Nosotros"/>
      <sheetName val=" ram nosotros"/>
      <sheetName val="Tarjeta de video nosotros"/>
      <sheetName val="Procesador Nosotros"/>
      <sheetName val="Teclado nosostros "/>
      <sheetName val="Muse nosotros"/>
      <sheetName val="software licencia"/>
      <sheetName val="licencia visual"/>
      <sheetName val="windows 11 licencia"/>
      <sheetName val="licencia SQ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ración_precios2" displayName="Comparación_precios2" ref="B8:L15" totalsRowShown="0" headerRowDxfId="23" dataDxfId="22">
  <tableColumns count="11">
    <tableColumn id="1" xr3:uid="{00000000-0010-0000-0000-000001000000}" name="PRODUCTO" dataDxfId="21" totalsRowDxfId="20">
      <calculatedColumnFormula>'[1]Monitor Admin'!$D$8</calculatedColumnFormula>
    </tableColumn>
    <tableColumn id="8" xr3:uid="{00000000-0010-0000-0000-000008000000}" name="CANTIDAD" dataDxfId="19" totalsRowDxfId="18"/>
    <tableColumn id="2" xr3:uid="{00000000-0010-0000-0000-000002000000}" name="PROVEEDOR 1" totalsRowDxfId="17">
      <calculatedColumnFormula>'[1]Monitor Admin'!$H$8</calculatedColumnFormula>
    </tableColumn>
    <tableColumn id="3" xr3:uid="{00000000-0010-0000-0000-000003000000}" name="PROVEEDOR 2" dataDxfId="16" totalsRowDxfId="15">
      <calculatedColumnFormula>'[1]Monitor Admin'!$H$9</calculatedColumnFormula>
    </tableColumn>
    <tableColumn id="4" xr3:uid="{00000000-0010-0000-0000-000004000000}" name="PROVEEDOR 3" dataDxfId="14" totalsRowDxfId="13">
      <calculatedColumnFormula>'[1]Monitor Admin'!$H$10</calculatedColumnFormula>
    </tableColumn>
    <tableColumn id="5" xr3:uid="{00000000-0010-0000-0000-000005000000}" name="PROVEEDOR 4" dataDxfId="12" totalsRowDxfId="11"/>
    <tableColumn id="6" xr3:uid="{00000000-0010-0000-0000-000006000000}" name="PROVEEDOR 5" dataDxfId="10" totalsRowDxfId="9"/>
    <tableColumn id="7" xr3:uid="{00000000-0010-0000-0000-000007000000}" name="PROVEEDOR 6" dataDxfId="8" totalsRowDxfId="7"/>
    <tableColumn id="11" xr3:uid="{00000000-0010-0000-0000-00000B000000}" name="PRECIO MÁS BAJO" dataDxfId="6" totalsRowDxfId="5">
      <calculatedColumnFormula>MIN(Comparación_precios2[[#This Row],[PROVEEDOR 1]:[PROVEEDOR 6]])</calculatedColumnFormula>
    </tableColumn>
    <tableColumn id="12" xr3:uid="{00000000-0010-0000-0000-00000C000000}" name="PRECIO PROMEDIO" dataDxfId="4" totalsRowDxfId="3">
      <calculatedColumnFormula>IFERROR(AVERAGE(Comparación_precios2[[#This Row],[PROVEEDOR 1]:[PROVEEDOR 6]]),0)</calculatedColumnFormula>
    </tableColumn>
    <tableColumn id="13" xr3:uid="{00000000-0010-0000-0000-00000D000000}" name="PRECIO MÁS ALTO" dataDxfId="2" totalsRowDxfId="1">
      <calculatedColumnFormula>MAX(Comparación_precios2[[#This Row],[PROVEEDOR 1]:[PROVEEDOR 6]])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"/>
  <sheetViews>
    <sheetView showGridLines="0" zoomScale="80" zoomScaleNormal="80" workbookViewId="0">
      <selection activeCell="H6" sqref="H6"/>
    </sheetView>
  </sheetViews>
  <sheetFormatPr baseColWidth="10" defaultColWidth="12" defaultRowHeight="15.75"/>
  <cols>
    <col min="1" max="1" width="4.83203125" style="18" customWidth="1"/>
    <col min="2" max="11" width="22" style="18" customWidth="1"/>
    <col min="12" max="16384" width="12" style="18"/>
  </cols>
  <sheetData>
    <row r="1" spans="2:11" ht="9.9499999999999993" customHeight="1"/>
    <row r="2" spans="2:11" customFormat="1" ht="54.95" customHeight="1">
      <c r="B2" s="5"/>
      <c r="C2" s="5"/>
      <c r="D2" s="5"/>
      <c r="E2" s="5"/>
      <c r="F2" s="5"/>
      <c r="G2" s="5"/>
      <c r="H2" s="5"/>
      <c r="I2" s="5"/>
      <c r="J2" s="5"/>
      <c r="K2" s="5"/>
    </row>
    <row r="3" spans="2:11" ht="24" customHeight="1"/>
    <row r="4" spans="2:11" ht="42" customHeight="1">
      <c r="B4" s="19" t="s">
        <v>0</v>
      </c>
      <c r="C4" s="20"/>
      <c r="D4" s="20"/>
      <c r="E4" s="20"/>
      <c r="F4" s="20"/>
      <c r="G4" s="20"/>
      <c r="H4" s="20"/>
      <c r="I4" s="20"/>
      <c r="J4" s="20"/>
      <c r="K4" s="20"/>
    </row>
    <row r="5" spans="2:11" ht="15" customHeigh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33"/>
  <sheetViews>
    <sheetView showGridLines="0" tabSelected="1" topLeftCell="A10" zoomScale="66" zoomScaleNormal="66" workbookViewId="0">
      <selection activeCell="D15" sqref="D15"/>
    </sheetView>
  </sheetViews>
  <sheetFormatPr baseColWidth="10" defaultColWidth="9.33203125" defaultRowHeight="12.75"/>
  <cols>
    <col min="1" max="1" width="4" style="1" customWidth="1"/>
    <col min="2" max="2" width="23.5" style="1" customWidth="1"/>
    <col min="3" max="3" width="31.5" style="1" customWidth="1"/>
    <col min="4" max="4" width="27.5" style="1" customWidth="1"/>
    <col min="5" max="5" width="23.33203125" style="1" bestFit="1" customWidth="1"/>
    <col min="6" max="6" width="25.1640625" style="1" bestFit="1" customWidth="1"/>
    <col min="7" max="7" width="32.5" style="1" customWidth="1"/>
    <col min="8" max="8" width="22.1640625" style="1" bestFit="1" customWidth="1"/>
    <col min="9" max="9" width="22.1640625" style="1" customWidth="1"/>
    <col min="10" max="10" width="27.33203125" style="1" customWidth="1"/>
    <col min="11" max="11" width="23.5" style="3" customWidth="1"/>
    <col min="12" max="12" width="24.83203125" style="3" customWidth="1"/>
    <col min="13" max="13" width="20.5" style="1" customWidth="1"/>
    <col min="14" max="14" width="20.6640625" style="1" customWidth="1"/>
    <col min="15" max="16384" width="9.33203125" style="1"/>
  </cols>
  <sheetData>
    <row r="1" spans="2:14" ht="15" customHeight="1"/>
    <row r="2" spans="2:14" customFormat="1" ht="54.95" customHeight="1">
      <c r="B2" s="5"/>
      <c r="C2" s="5"/>
      <c r="D2" s="5"/>
      <c r="E2" s="5"/>
      <c r="F2" s="5"/>
      <c r="G2" s="5"/>
      <c r="H2" s="5"/>
      <c r="I2" s="30"/>
      <c r="J2" s="30"/>
      <c r="K2" s="30"/>
      <c r="L2" s="30"/>
    </row>
    <row r="3" spans="2:14" ht="15" customHeight="1"/>
    <row r="4" spans="2:14" ht="15" customHeight="1"/>
    <row r="5" spans="2:14" ht="28.5">
      <c r="B5" s="16" t="s">
        <v>1</v>
      </c>
      <c r="C5" s="16"/>
      <c r="N5" s="1" t="s">
        <v>54</v>
      </c>
    </row>
    <row r="6" spans="2:14" ht="29.25" thickBot="1">
      <c r="B6" s="17" t="s">
        <v>2</v>
      </c>
      <c r="C6" s="17"/>
      <c r="D6" s="16"/>
      <c r="E6" s="16"/>
      <c r="F6" s="16"/>
      <c r="G6" s="16"/>
      <c r="H6" s="16"/>
      <c r="I6" s="16"/>
      <c r="J6" s="4"/>
      <c r="K6" s="4"/>
      <c r="L6" s="4"/>
      <c r="M6" s="4"/>
      <c r="N6" s="4"/>
    </row>
    <row r="7" spans="2:14" ht="24.75" customHeight="1" thickBot="1">
      <c r="J7" s="69" t="s">
        <v>3</v>
      </c>
      <c r="K7" s="70"/>
      <c r="L7" s="71"/>
    </row>
    <row r="8" spans="2:14" s="6" customFormat="1" ht="46.5" customHeight="1" thickBot="1">
      <c r="B8" s="31" t="s">
        <v>4</v>
      </c>
      <c r="C8" s="31" t="s">
        <v>5</v>
      </c>
      <c r="D8" s="31" t="s">
        <v>6</v>
      </c>
      <c r="E8" s="31" t="s">
        <v>7</v>
      </c>
      <c r="F8" s="31" t="s">
        <v>8</v>
      </c>
      <c r="G8" s="31" t="s">
        <v>9</v>
      </c>
      <c r="H8" s="31" t="s">
        <v>10</v>
      </c>
      <c r="I8" s="31" t="s">
        <v>11</v>
      </c>
      <c r="J8" s="11" t="s">
        <v>12</v>
      </c>
      <c r="K8" s="10" t="s">
        <v>13</v>
      </c>
      <c r="L8" s="12" t="s">
        <v>14</v>
      </c>
    </row>
    <row r="9" spans="2:14" s="7" customFormat="1" ht="114" customHeight="1">
      <c r="B9" s="51" t="s">
        <v>36</v>
      </c>
      <c r="C9" s="52" t="s">
        <v>43</v>
      </c>
      <c r="D9" s="38">
        <v>360000</v>
      </c>
      <c r="E9" s="53">
        <v>45000</v>
      </c>
      <c r="F9" s="53"/>
      <c r="G9" s="53"/>
      <c r="H9" s="53"/>
      <c r="I9" s="61"/>
      <c r="J9" s="54">
        <v>45000</v>
      </c>
      <c r="K9" s="8">
        <v>202500</v>
      </c>
      <c r="L9" s="14">
        <v>360000</v>
      </c>
    </row>
    <row r="10" spans="2:14" s="7" customFormat="1" ht="153" customHeight="1" thickBot="1">
      <c r="B10" s="50" t="s">
        <v>37</v>
      </c>
      <c r="C10" s="32" t="s">
        <v>43</v>
      </c>
      <c r="D10" s="9">
        <v>180000</v>
      </c>
      <c r="E10" s="9">
        <v>336000</v>
      </c>
      <c r="F10" s="9"/>
      <c r="G10" s="9"/>
      <c r="H10" s="9"/>
      <c r="I10" s="9"/>
      <c r="J10" s="13">
        <v>180000</v>
      </c>
      <c r="K10" s="8">
        <v>258000</v>
      </c>
      <c r="L10" s="14">
        <v>336000</v>
      </c>
    </row>
    <row r="11" spans="2:14" s="7" customFormat="1" ht="150" customHeight="1" thickBot="1">
      <c r="B11" s="50" t="s">
        <v>38</v>
      </c>
      <c r="C11" s="32">
        <v>1</v>
      </c>
      <c r="D11" s="9" t="s">
        <v>46</v>
      </c>
      <c r="E11" s="9"/>
      <c r="F11" s="9"/>
      <c r="G11" s="9"/>
      <c r="H11" s="9"/>
      <c r="I11" s="9"/>
      <c r="J11" s="13">
        <f>MIN(Comparación_precios2[[#This Row],[PROVEEDOR 1]:[PROVEEDOR 6]])</f>
        <v>0</v>
      </c>
      <c r="K11" s="8">
        <f>IFERROR(AVERAGE(Comparación_precios2[[#This Row],[PROVEEDOR 1]:[PROVEEDOR 6]]),0)</f>
        <v>0</v>
      </c>
      <c r="L11" s="14">
        <f>MAX(Comparación_precios2[[#This Row],[PROVEEDOR 1]:[PROVEEDOR 6]])</f>
        <v>0</v>
      </c>
    </row>
    <row r="12" spans="2:14" s="7" customFormat="1" ht="38.25" thickBot="1">
      <c r="B12" s="50" t="s">
        <v>39</v>
      </c>
      <c r="C12" s="32">
        <v>1</v>
      </c>
      <c r="D12" s="9" t="s">
        <v>46</v>
      </c>
      <c r="E12" s="9"/>
      <c r="F12" s="9"/>
      <c r="G12" s="9"/>
      <c r="H12" s="9"/>
      <c r="I12" s="9"/>
      <c r="J12" s="13">
        <f>MIN(Comparación_precios2[[#This Row],[PROVEEDOR 1]:[PROVEEDOR 6]])</f>
        <v>0</v>
      </c>
      <c r="K12" s="8">
        <f>IFERROR(AVERAGE(Comparación_precios2[[#This Row],[PROVEEDOR 1]:[PROVEEDOR 6]]),0)</f>
        <v>0</v>
      </c>
      <c r="L12" s="14">
        <f>MAX(Comparación_precios2[[#This Row],[PROVEEDOR 1]:[PROVEEDOR 6]])</f>
        <v>0</v>
      </c>
    </row>
    <row r="13" spans="2:14" s="7" customFormat="1" ht="75.75" thickBot="1">
      <c r="B13" s="50" t="s">
        <v>40</v>
      </c>
      <c r="C13" s="32">
        <v>1</v>
      </c>
      <c r="D13" s="9" t="s">
        <v>46</v>
      </c>
      <c r="E13" s="9"/>
      <c r="F13" s="9"/>
      <c r="G13" s="9"/>
      <c r="H13" s="9"/>
      <c r="I13" s="9"/>
      <c r="J13" s="13">
        <f>MIN(Comparación_precios2[[#This Row],[PROVEEDOR 1]:[PROVEEDOR 6]])</f>
        <v>0</v>
      </c>
      <c r="K13" s="8">
        <f>IFERROR(AVERAGE(Comparación_precios2[[#This Row],[PROVEEDOR 1]:[PROVEEDOR 6]]),0)</f>
        <v>0</v>
      </c>
      <c r="L13" s="14">
        <f>MAX(Comparación_precios2[[#This Row],[PROVEEDOR 1]:[PROVEEDOR 6]])</f>
        <v>0</v>
      </c>
    </row>
    <row r="14" spans="2:14" s="7" customFormat="1" ht="165" customHeight="1" thickBot="1">
      <c r="B14" s="50" t="s">
        <v>41</v>
      </c>
      <c r="C14" s="32">
        <v>1</v>
      </c>
      <c r="D14" s="9">
        <v>95000</v>
      </c>
      <c r="E14" s="9"/>
      <c r="F14" s="9"/>
      <c r="G14" s="9"/>
      <c r="H14" s="9"/>
      <c r="I14" s="9"/>
      <c r="J14" s="13">
        <v>95000</v>
      </c>
      <c r="K14" s="8">
        <v>95000</v>
      </c>
      <c r="L14" s="14">
        <v>95000</v>
      </c>
    </row>
    <row r="15" spans="2:14" s="2" customFormat="1" ht="57" thickBot="1">
      <c r="B15" s="50" t="s">
        <v>42</v>
      </c>
      <c r="C15" s="32">
        <v>1</v>
      </c>
      <c r="D15" s="9" t="s">
        <v>55</v>
      </c>
      <c r="E15" s="9"/>
      <c r="F15" s="9"/>
      <c r="G15" s="9"/>
      <c r="H15" s="9"/>
      <c r="I15" s="9"/>
      <c r="J15" s="27">
        <f>MIN(J1)</f>
        <v>0</v>
      </c>
      <c r="K15" s="28">
        <f>IFERROR(AVERAGE(Comparación_precios2[[#This Row],[PROVEEDOR 1]:[PROVEEDOR 6]]),0)</f>
        <v>0</v>
      </c>
      <c r="L15" s="29">
        <f>MAX(Comparación_precios2[[#This Row],[PROVEEDOR 1]:[PROVEEDOR 6]])</f>
        <v>0</v>
      </c>
    </row>
    <row r="16" spans="2:14" s="2" customFormat="1">
      <c r="B16" s="1"/>
      <c r="C16" s="1"/>
      <c r="D16" s="1"/>
      <c r="E16" s="1"/>
      <c r="F16" s="1"/>
      <c r="G16" s="1"/>
      <c r="H16" s="1"/>
      <c r="I16" s="1"/>
      <c r="J16" s="1"/>
      <c r="K16" s="3"/>
      <c r="L16" s="3"/>
    </row>
    <row r="17" spans="2:12" s="2" customFormat="1" ht="13.5" thickBot="1">
      <c r="B17" s="1"/>
      <c r="C17" s="1"/>
      <c r="D17" s="1"/>
      <c r="E17" s="1"/>
      <c r="F17" s="1"/>
      <c r="G17" s="1"/>
      <c r="H17" s="1"/>
      <c r="I17" s="1"/>
      <c r="J17" s="1"/>
      <c r="K17" s="3"/>
      <c r="L17" s="3"/>
    </row>
    <row r="18" spans="2:12" s="2" customFormat="1" ht="18.75">
      <c r="B18" s="72" t="s">
        <v>15</v>
      </c>
      <c r="C18" s="73"/>
      <c r="D18" s="21"/>
      <c r="E18" s="21"/>
      <c r="F18" s="21"/>
      <c r="G18" s="21"/>
      <c r="H18" s="21"/>
    </row>
    <row r="19" spans="2:12" s="2" customFormat="1" ht="18.75">
      <c r="B19" s="74" t="s">
        <v>16</v>
      </c>
      <c r="C19" s="75"/>
      <c r="D19" s="62" t="s">
        <v>47</v>
      </c>
      <c r="E19" s="63" t="s">
        <v>37</v>
      </c>
      <c r="F19" s="65" t="s">
        <v>49</v>
      </c>
      <c r="G19" s="66" t="s">
        <v>50</v>
      </c>
      <c r="H19" s="63" t="s">
        <v>51</v>
      </c>
      <c r="I19" s="67" t="s">
        <v>41</v>
      </c>
    </row>
    <row r="20" spans="2:12" s="2" customFormat="1" ht="18.75">
      <c r="B20" s="74" t="s">
        <v>17</v>
      </c>
      <c r="C20" s="75"/>
      <c r="D20" s="56" t="s">
        <v>48</v>
      </c>
      <c r="E20" s="64" t="s">
        <v>48</v>
      </c>
      <c r="F20" s="22" t="s">
        <v>48</v>
      </c>
      <c r="G20" s="60" t="s">
        <v>48</v>
      </c>
      <c r="H20" s="22" t="s">
        <v>48</v>
      </c>
      <c r="I20" s="22" t="s">
        <v>52</v>
      </c>
    </row>
    <row r="21" spans="2:12" s="2" customFormat="1">
      <c r="B21" s="74" t="s">
        <v>18</v>
      </c>
      <c r="C21" s="75"/>
      <c r="D21" t="s">
        <v>44</v>
      </c>
      <c r="E21" t="s">
        <v>45</v>
      </c>
      <c r="F21" t="s">
        <v>46</v>
      </c>
      <c r="G21" t="s">
        <v>46</v>
      </c>
      <c r="H21" t="s">
        <v>46</v>
      </c>
      <c r="I21" s="68" t="s">
        <v>53</v>
      </c>
    </row>
    <row r="22" spans="2:12" s="2" customFormat="1" ht="18.75">
      <c r="B22" s="74"/>
      <c r="C22" s="75"/>
      <c r="D22" s="59" t="s">
        <v>19</v>
      </c>
      <c r="E22" s="55" t="s">
        <v>19</v>
      </c>
      <c r="F22" s="55" t="s">
        <v>19</v>
      </c>
      <c r="G22" s="55" t="s">
        <v>19</v>
      </c>
      <c r="H22" s="55" t="s">
        <v>19</v>
      </c>
      <c r="I22" s="55" t="s">
        <v>19</v>
      </c>
    </row>
    <row r="23" spans="2:12" s="2" customFormat="1" ht="23.25">
      <c r="B23" s="74"/>
      <c r="C23" s="75"/>
      <c r="D23" s="57"/>
      <c r="E23" s="58"/>
      <c r="F23" s="26"/>
      <c r="G23" s="26"/>
      <c r="H23" s="26"/>
      <c r="I23" s="26"/>
    </row>
    <row r="24" spans="2:12" s="2" customFormat="1">
      <c r="B24" s="74"/>
      <c r="C24" s="75"/>
      <c r="D24" s="1"/>
      <c r="E24" s="1"/>
      <c r="F24" s="1"/>
      <c r="G24" s="1"/>
      <c r="H24" s="1"/>
      <c r="I24" s="1"/>
      <c r="K24" s="1"/>
      <c r="L24" s="1"/>
    </row>
    <row r="25" spans="2:12" s="2" customFormat="1">
      <c r="B25" s="1"/>
      <c r="C25" s="1"/>
      <c r="D25" s="1"/>
      <c r="E25" s="1"/>
      <c r="F25" s="1"/>
      <c r="G25" s="1"/>
      <c r="H25" s="1"/>
      <c r="I25" s="1"/>
      <c r="J25" s="3"/>
      <c r="K25" s="1"/>
      <c r="L25" s="1"/>
    </row>
    <row r="26" spans="2:12" s="2" customFormat="1" ht="18.75">
      <c r="B26" s="1"/>
      <c r="C26" s="1"/>
      <c r="D26" s="33"/>
      <c r="E26" s="33"/>
      <c r="F26" s="34"/>
      <c r="G26" s="35"/>
      <c r="H26" s="36"/>
      <c r="I26" s="33"/>
      <c r="J26" s="3"/>
      <c r="K26" s="1"/>
      <c r="L26" s="1"/>
    </row>
    <row r="27" spans="2:12" s="2" customFormat="1" ht="18.75">
      <c r="B27" s="1"/>
      <c r="C27" s="1"/>
      <c r="D27" s="33"/>
      <c r="E27" s="33"/>
      <c r="F27" s="34"/>
      <c r="G27" s="37"/>
      <c r="H27" s="36"/>
      <c r="I27" s="33"/>
      <c r="J27" s="3"/>
      <c r="K27" s="1"/>
      <c r="L27" s="1"/>
    </row>
    <row r="28" spans="2:12" s="2" customFormat="1" ht="48.6" customHeight="1">
      <c r="B28" s="1"/>
      <c r="C28" s="1"/>
      <c r="D28" s="33"/>
      <c r="E28" s="33"/>
      <c r="F28" s="34"/>
      <c r="G28" s="37"/>
      <c r="H28" s="36"/>
      <c r="I28" s="33"/>
      <c r="J28" s="1"/>
      <c r="K28" s="3"/>
      <c r="L28" s="3"/>
    </row>
    <row r="29" spans="2:12" s="2" customFormat="1" ht="33.6" customHeight="1">
      <c r="B29" s="1"/>
      <c r="C29" s="1"/>
      <c r="D29" s="33"/>
      <c r="E29" s="33"/>
      <c r="F29" s="34"/>
      <c r="G29" s="37"/>
      <c r="H29" s="36"/>
      <c r="I29" s="33"/>
      <c r="J29" s="1"/>
      <c r="K29" s="3"/>
      <c r="L29" s="3"/>
    </row>
    <row r="30" spans="2:12" s="2" customFormat="1" ht="25.9" customHeight="1">
      <c r="B30" s="1"/>
      <c r="C30" s="1"/>
      <c r="D30" s="33"/>
      <c r="E30" s="33"/>
      <c r="F30" s="34"/>
      <c r="G30" s="37"/>
      <c r="H30" s="36"/>
      <c r="I30" s="33"/>
      <c r="J30" s="1"/>
      <c r="K30" s="3"/>
      <c r="L30" s="3"/>
    </row>
    <row r="31" spans="2:12" s="2" customFormat="1" ht="18" customHeight="1">
      <c r="B31" s="1"/>
      <c r="C31" s="1"/>
      <c r="D31" s="33"/>
      <c r="E31" s="33"/>
      <c r="F31" s="34"/>
      <c r="G31" s="37"/>
      <c r="H31" s="36"/>
      <c r="I31" s="33"/>
      <c r="J31" s="1"/>
      <c r="K31" s="3"/>
      <c r="L31" s="3"/>
    </row>
    <row r="32" spans="2:12" s="2" customFormat="1">
      <c r="B32" s="1"/>
      <c r="C32" s="1"/>
      <c r="D32" s="1"/>
      <c r="E32" s="1"/>
      <c r="F32" s="1"/>
      <c r="G32" s="1"/>
      <c r="H32" s="1"/>
      <c r="I32" s="1"/>
      <c r="J32" s="1"/>
      <c r="K32" s="3"/>
      <c r="L32" s="3"/>
    </row>
    <row r="33" spans="2:12" s="2" customFormat="1">
      <c r="B33" s="1"/>
      <c r="C33" s="1"/>
      <c r="D33" s="1"/>
      <c r="E33" s="1"/>
      <c r="F33" s="1"/>
      <c r="G33" s="1"/>
      <c r="H33" s="1"/>
      <c r="I33" s="1"/>
      <c r="J33" s="1"/>
      <c r="K33" s="3"/>
      <c r="L33" s="3"/>
    </row>
  </sheetData>
  <mergeCells count="5">
    <mergeCell ref="J7:L7"/>
    <mergeCell ref="B18:C18"/>
    <mergeCell ref="B19:C19"/>
    <mergeCell ref="B20:C20"/>
    <mergeCell ref="B21:C24"/>
  </mergeCells>
  <conditionalFormatting sqref="B8:I9">
    <cfRule type="expression" dxfId="25" priority="8">
      <formula>AND(#REF!=MIN(#REF!),#REF!&lt;&gt;0)</formula>
    </cfRule>
  </conditionalFormatting>
  <conditionalFormatting sqref="D9:I15">
    <cfRule type="expression" dxfId="24" priority="10">
      <formula>AND(#REF!=MIN(#REF!),#REF!&lt;&gt;0)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I41"/>
  <sheetViews>
    <sheetView topLeftCell="A6" workbookViewId="0">
      <selection activeCell="B28" sqref="B28:I30"/>
    </sheetView>
  </sheetViews>
  <sheetFormatPr baseColWidth="10" defaultColWidth="12" defaultRowHeight="11.25"/>
  <cols>
    <col min="2" max="2" width="19.83203125" customWidth="1"/>
    <col min="4" max="9" width="18.5" customWidth="1"/>
  </cols>
  <sheetData>
    <row r="6" spans="2:9" ht="12" thickBot="1"/>
    <row r="7" spans="2:9" ht="19.5" thickBot="1">
      <c r="B7" s="39" t="s">
        <v>20</v>
      </c>
      <c r="C7" s="40">
        <v>1</v>
      </c>
      <c r="D7" s="39">
        <v>498</v>
      </c>
      <c r="E7" s="39">
        <v>420</v>
      </c>
      <c r="F7" s="39">
        <v>450</v>
      </c>
      <c r="G7" s="39">
        <v>230</v>
      </c>
      <c r="H7" s="39">
        <v>600</v>
      </c>
      <c r="I7" s="39">
        <v>520</v>
      </c>
    </row>
    <row r="8" spans="2:9" ht="19.5" thickBot="1">
      <c r="B8" s="39" t="s">
        <v>21</v>
      </c>
      <c r="C8" s="40">
        <v>2</v>
      </c>
      <c r="D8" s="39">
        <v>450</v>
      </c>
      <c r="E8" s="39">
        <v>220</v>
      </c>
      <c r="F8" s="39">
        <v>405</v>
      </c>
      <c r="G8" s="39">
        <v>495</v>
      </c>
      <c r="H8" s="39">
        <v>540</v>
      </c>
      <c r="I8" s="39">
        <v>200</v>
      </c>
    </row>
    <row r="9" spans="2:9" ht="19.5" thickBot="1">
      <c r="B9" s="39" t="s">
        <v>22</v>
      </c>
      <c r="C9" s="40">
        <v>2</v>
      </c>
      <c r="D9" s="39">
        <v>650</v>
      </c>
      <c r="E9" s="39">
        <v>620</v>
      </c>
      <c r="F9" s="39">
        <v>666</v>
      </c>
      <c r="G9" s="39">
        <v>400</v>
      </c>
      <c r="H9" s="39">
        <v>648</v>
      </c>
      <c r="I9" s="39">
        <v>452.4</v>
      </c>
    </row>
    <row r="10" spans="2:9" ht="19.5" thickBot="1">
      <c r="B10" s="39" t="s">
        <v>23</v>
      </c>
      <c r="C10" s="40">
        <v>1</v>
      </c>
      <c r="D10" s="39">
        <v>585</v>
      </c>
      <c r="E10" s="39">
        <v>558</v>
      </c>
      <c r="F10" s="39">
        <v>320</v>
      </c>
      <c r="G10" s="39">
        <v>360</v>
      </c>
      <c r="H10" s="39">
        <v>583.20000000000005</v>
      </c>
      <c r="I10" s="39">
        <v>407.16</v>
      </c>
    </row>
    <row r="11" spans="2:9" ht="19.5" thickBot="1">
      <c r="B11" s="39" t="s">
        <v>24</v>
      </c>
      <c r="C11" s="40">
        <v>3</v>
      </c>
      <c r="D11" s="39">
        <v>526.5</v>
      </c>
      <c r="E11" s="39">
        <v>502.2</v>
      </c>
      <c r="F11" s="39">
        <v>539.46</v>
      </c>
      <c r="G11" s="39">
        <v>300</v>
      </c>
      <c r="H11" s="39">
        <v>500</v>
      </c>
      <c r="I11" s="39">
        <v>366.44</v>
      </c>
    </row>
    <row r="12" spans="2:9" ht="19.5" thickBot="1">
      <c r="B12" s="39" t="s">
        <v>25</v>
      </c>
      <c r="C12" s="40">
        <v>1</v>
      </c>
      <c r="D12" s="39">
        <v>473.8</v>
      </c>
      <c r="E12" s="39">
        <v>200</v>
      </c>
      <c r="F12" s="39">
        <v>485.51</v>
      </c>
      <c r="G12" s="39">
        <v>291.60000000000002</v>
      </c>
      <c r="H12" s="39">
        <v>270</v>
      </c>
      <c r="I12" s="39">
        <v>220</v>
      </c>
    </row>
    <row r="19" spans="2:9" ht="18.75">
      <c r="D19" s="41">
        <v>30</v>
      </c>
      <c r="E19" s="15">
        <v>10</v>
      </c>
      <c r="F19" s="15">
        <v>15</v>
      </c>
      <c r="G19" s="15">
        <v>15</v>
      </c>
      <c r="H19" s="15">
        <v>15</v>
      </c>
      <c r="I19" s="15">
        <v>10</v>
      </c>
    </row>
    <row r="20" spans="2:9" ht="18.75">
      <c r="D20" s="42">
        <v>10</v>
      </c>
      <c r="E20" s="22">
        <v>10</v>
      </c>
      <c r="F20" s="22">
        <v>10</v>
      </c>
      <c r="G20" s="15" t="s">
        <v>26</v>
      </c>
      <c r="H20" s="22">
        <v>5</v>
      </c>
      <c r="I20" s="22" t="s">
        <v>26</v>
      </c>
    </row>
    <row r="21" spans="2:9" ht="18.75">
      <c r="D21" s="43" t="s">
        <v>27</v>
      </c>
      <c r="E21" s="23" t="s">
        <v>27</v>
      </c>
      <c r="F21" s="23" t="s">
        <v>28</v>
      </c>
      <c r="G21" s="23" t="s">
        <v>29</v>
      </c>
      <c r="H21" s="23" t="s">
        <v>28</v>
      </c>
      <c r="I21" s="23" t="s">
        <v>28</v>
      </c>
    </row>
    <row r="22" spans="2:9" ht="18.75">
      <c r="D22" s="44" t="s">
        <v>30</v>
      </c>
      <c r="E22" s="24" t="s">
        <v>30</v>
      </c>
      <c r="F22" s="24" t="s">
        <v>31</v>
      </c>
      <c r="G22" s="24" t="s">
        <v>28</v>
      </c>
      <c r="H22" s="24" t="s">
        <v>31</v>
      </c>
      <c r="I22" s="24" t="s">
        <v>31</v>
      </c>
    </row>
    <row r="23" spans="2:9" ht="18.75">
      <c r="D23" s="45"/>
      <c r="E23" s="25"/>
      <c r="F23" s="25"/>
      <c r="G23" s="25"/>
      <c r="H23" s="25"/>
      <c r="I23" s="25"/>
    </row>
    <row r="24" spans="2:9" ht="18.75">
      <c r="D24" s="46"/>
      <c r="E24" s="26"/>
      <c r="F24" s="26"/>
      <c r="G24" s="26"/>
      <c r="H24" s="26"/>
      <c r="I24" s="26"/>
    </row>
    <row r="27" spans="2:9" ht="12" thickBot="1"/>
    <row r="28" spans="2:9" ht="19.5" thickBot="1">
      <c r="B28" s="39" t="s">
        <v>32</v>
      </c>
      <c r="C28" s="40">
        <v>1</v>
      </c>
      <c r="D28" s="39">
        <v>340</v>
      </c>
      <c r="E28" s="39">
        <v>330</v>
      </c>
      <c r="F28" s="39">
        <v>440</v>
      </c>
      <c r="G28" s="39">
        <v>400</v>
      </c>
      <c r="H28" s="39">
        <v>320</v>
      </c>
      <c r="I28" s="39">
        <v>330</v>
      </c>
    </row>
    <row r="29" spans="2:9" ht="19.5" thickBot="1">
      <c r="B29" s="39" t="s">
        <v>33</v>
      </c>
      <c r="C29" s="40">
        <v>1</v>
      </c>
      <c r="D29" s="39">
        <v>220</v>
      </c>
      <c r="E29" s="39">
        <v>230</v>
      </c>
      <c r="F29" s="39">
        <v>240</v>
      </c>
      <c r="G29" s="39">
        <v>220</v>
      </c>
      <c r="H29" s="39">
        <v>219</v>
      </c>
      <c r="I29" s="39">
        <v>218</v>
      </c>
    </row>
    <row r="30" spans="2:9" ht="19.5" thickBot="1">
      <c r="B30" s="39" t="s">
        <v>34</v>
      </c>
      <c r="C30" s="40">
        <v>2</v>
      </c>
      <c r="D30" s="39">
        <v>560</v>
      </c>
      <c r="E30" s="39">
        <v>580</v>
      </c>
      <c r="F30" s="39">
        <v>550</v>
      </c>
      <c r="G30" s="39">
        <v>520</v>
      </c>
      <c r="H30" s="39">
        <v>551</v>
      </c>
      <c r="I30" s="39">
        <v>550</v>
      </c>
    </row>
    <row r="35" spans="2:2" ht="14.25">
      <c r="B35" s="49" t="s">
        <v>35</v>
      </c>
    </row>
    <row r="36" spans="2:2" ht="18.75">
      <c r="B36" s="47">
        <v>250</v>
      </c>
    </row>
    <row r="37" spans="2:2" ht="18.75">
      <c r="B37" s="48">
        <v>440</v>
      </c>
    </row>
    <row r="38" spans="2:2" ht="18.75">
      <c r="B38" s="48">
        <v>440</v>
      </c>
    </row>
    <row r="39" spans="2:2" ht="18.75">
      <c r="B39" s="48">
        <v>350</v>
      </c>
    </row>
    <row r="40" spans="2:2" ht="18.75">
      <c r="B40" s="48">
        <v>420</v>
      </c>
    </row>
    <row r="41" spans="2:2" ht="18.75">
      <c r="B41" s="48">
        <v>199</v>
      </c>
    </row>
  </sheetData>
  <conditionalFormatting sqref="D7:I12 D28:I30">
    <cfRule type="expression" dxfId="0" priority="2">
      <formula>AND(D$15=MIN($D$15:$I$15),D$15&lt;&gt;0)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- AYUDA -</vt:lpstr>
      <vt:lpstr>Precios </vt:lpstr>
      <vt:lpstr>Soporte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Planilla excel</dc:creator>
  <cp:keywords/>
  <dc:description/>
  <cp:lastModifiedBy>APRENDIZ</cp:lastModifiedBy>
  <cp:revision/>
  <dcterms:created xsi:type="dcterms:W3CDTF">2013-10-17T12:18:53Z</dcterms:created>
  <dcterms:modified xsi:type="dcterms:W3CDTF">2025-12-09T19:23:16Z</dcterms:modified>
  <cp:category/>
  <cp:contentStatus/>
</cp:coreProperties>
</file>